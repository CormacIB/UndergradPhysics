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cormacbillick/Downloads/"/>
    </mc:Choice>
  </mc:AlternateContent>
  <xr:revisionPtr revIDLastSave="0" documentId="13_ncr:1_{05F588E5-21B1-4148-B3A6-6F0B5AA6068A}" xr6:coauthVersionLast="47" xr6:coauthVersionMax="47" xr10:uidLastSave="{00000000-0000-0000-0000-000000000000}"/>
  <bookViews>
    <workbookView xWindow="0" yWindow="760" windowWidth="30240" windowHeight="17680" xr2:uid="{00000000-000D-0000-FFFF-FFFF00000000}"/>
  </bookViews>
  <sheets>
    <sheet name="Sheet1" sheetId="1" r:id="rId1"/>
    <sheet name="analysis" sheetId="2" r:id="rId2"/>
    <sheet name="MV" sheetId="3" r:id="rId3"/>
  </sheets>
  <definedNames>
    <definedName name="_xlnm._FilterDatabase" localSheetId="0" hidden="1">Sheet1!$A$1:$Q$273</definedName>
  </definedNames>
  <calcPr calcId="191029"/>
  <pivotCaches>
    <pivotCache cacheId="6" r:id="rId4"/>
    <pivotCache cacheId="10" r:id="rId5"/>
    <pivotCache cacheId="1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5" i="3" l="1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V23" i="3"/>
  <c r="N23" i="3"/>
  <c r="N22" i="3"/>
  <c r="N21" i="3"/>
  <c r="W20" i="3"/>
  <c r="N20" i="3"/>
  <c r="W19" i="3"/>
  <c r="N19" i="3"/>
  <c r="V18" i="3"/>
  <c r="N18" i="3"/>
  <c r="N17" i="3"/>
  <c r="N16" i="3"/>
  <c r="N15" i="3"/>
  <c r="N14" i="3"/>
  <c r="N13" i="3"/>
  <c r="N12" i="3"/>
  <c r="N11" i="3"/>
  <c r="N10" i="3"/>
  <c r="AB9" i="3"/>
  <c r="N9" i="3"/>
  <c r="N8" i="3"/>
  <c r="N7" i="3"/>
  <c r="N6" i="3"/>
  <c r="AC5" i="3"/>
  <c r="N5" i="3"/>
  <c r="AB4" i="3"/>
  <c r="N4" i="3"/>
  <c r="N3" i="3"/>
  <c r="N2" i="3"/>
  <c r="D95" i="2"/>
  <c r="C95" i="2"/>
  <c r="B95" i="2"/>
  <c r="D94" i="2"/>
  <c r="C94" i="2"/>
  <c r="B94" i="2"/>
  <c r="D93" i="2"/>
  <c r="C93" i="2"/>
  <c r="B93" i="2"/>
  <c r="D92" i="2"/>
  <c r="C92" i="2"/>
  <c r="B92" i="2"/>
  <c r="D91" i="2"/>
  <c r="C91" i="2"/>
  <c r="B91" i="2"/>
  <c r="D90" i="2"/>
  <c r="C90" i="2"/>
  <c r="B90" i="2"/>
  <c r="D89" i="2"/>
  <c r="C89" i="2"/>
  <c r="B89" i="2"/>
  <c r="D88" i="2"/>
  <c r="C88" i="2"/>
  <c r="B88" i="2"/>
  <c r="D87" i="2"/>
  <c r="C87" i="2"/>
  <c r="B87" i="2"/>
  <c r="D86" i="2"/>
  <c r="C86" i="2"/>
  <c r="B86" i="2"/>
  <c r="D85" i="2"/>
  <c r="C85" i="2"/>
  <c r="B85" i="2"/>
  <c r="D84" i="2"/>
  <c r="C84" i="2"/>
  <c r="B84" i="2"/>
  <c r="D83" i="2"/>
  <c r="C83" i="2"/>
  <c r="B83" i="2"/>
  <c r="D82" i="2"/>
  <c r="C82" i="2"/>
  <c r="B82" i="2"/>
  <c r="D81" i="2"/>
  <c r="C81" i="2"/>
  <c r="B81" i="2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<sst xmlns="http://schemas.openxmlformats.org/spreadsheetml/2006/main" count="521" uniqueCount="40">
  <si>
    <t>Branch</t>
  </si>
  <si>
    <t>Date</t>
  </si>
  <si>
    <t>Year</t>
  </si>
  <si>
    <t># of Milkweeds</t>
  </si>
  <si>
    <t>Eggs</t>
  </si>
  <si>
    <t>Firsts</t>
  </si>
  <si>
    <t>Seconds</t>
  </si>
  <si>
    <t>Thirds</t>
  </si>
  <si>
    <t>Fourths</t>
  </si>
  <si>
    <t>Fifths</t>
  </si>
  <si>
    <t>Live Pupae</t>
  </si>
  <si>
    <t>Live adult females</t>
  </si>
  <si>
    <t>Live Adult Unkowns</t>
  </si>
  <si>
    <t>Live Adult Males</t>
  </si>
  <si>
    <t>Number of volunteers</t>
  </si>
  <si>
    <t>Number of Staff</t>
  </si>
  <si>
    <t>Week Starting</t>
  </si>
  <si>
    <t>Riverside Park</t>
  </si>
  <si>
    <t>Washington Park</t>
  </si>
  <si>
    <t>Menomonee Valley</t>
  </si>
  <si>
    <t>Sum of Eggs</t>
  </si>
  <si>
    <t>Grand Total</t>
  </si>
  <si>
    <t>eggs per year</t>
  </si>
  <si>
    <t>year</t>
  </si>
  <si>
    <t>MV</t>
  </si>
  <si>
    <t>RP</t>
  </si>
  <si>
    <t>WP</t>
  </si>
  <si>
    <t>Total</t>
  </si>
  <si>
    <t>Row Labels</t>
  </si>
  <si>
    <t>Sum of Firsts</t>
  </si>
  <si>
    <t>Sum of Seconds</t>
  </si>
  <si>
    <t>Sum of Thirds</t>
  </si>
  <si>
    <t>Sum of Fourths</t>
  </si>
  <si>
    <t>Sum of Fifths</t>
  </si>
  <si>
    <t>Sum of Live Pupae</t>
  </si>
  <si>
    <t>Instars</t>
  </si>
  <si>
    <t>Sum of instars</t>
  </si>
  <si>
    <t>Sum of Sum of instars</t>
  </si>
  <si>
    <t>sum of eggs a year</t>
  </si>
  <si>
    <t>%incraese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</si>
</sst>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color rgb="FFBFBFBF"/>
      <name val="Calibri"/>
    </font>
    <font>
      <sz val="11"/>
      <color rgb="FF000000"/>
      <name val="Calibri"/>
    </font>
    <font>
      <sz val="11"/>
      <color rgb="FFBFBFBF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14" fontId="4" fillId="0" borderId="0" xfId="0" applyNumberFormat="1" applyFont="1"/>
    <xf numFmtId="0" fontId="4" fillId="0" borderId="0" xfId="0" applyFont="1" applyAlignment="1">
      <alignment wrapText="1"/>
    </xf>
    <xf numFmtId="0" fontId="5" fillId="0" borderId="0" xfId="0" applyFont="1"/>
    <xf numFmtId="14" fontId="4" fillId="0" borderId="0" xfId="0" applyNumberFormat="1" applyFont="1" applyAlignment="1">
      <alignment wrapText="1"/>
    </xf>
    <xf numFmtId="14" fontId="5" fillId="0" borderId="0" xfId="0" applyNumberFormat="1" applyFont="1" applyAlignment="1">
      <alignment wrapText="1"/>
    </xf>
    <xf numFmtId="0" fontId="6" fillId="0" borderId="0" xfId="0" applyFont="1"/>
    <xf numFmtId="0" fontId="4" fillId="0" borderId="0" xfId="0" applyFont="1" applyAlignment="1">
      <alignment horizontal="left"/>
    </xf>
    <xf numFmtId="0" fontId="0" fillId="0" borderId="1" xfId="0" pivotButton="1" applyBorder="1"/>
    <xf numFmtId="0" fontId="0" fillId="0" borderId="2" xfId="0" applyBorder="1"/>
    <xf numFmtId="0" fontId="0" fillId="0" borderId="1" xfId="0" applyBorder="1"/>
    <xf numFmtId="0" fontId="0" fillId="0" borderId="2" xfId="0" applyNumberFormat="1" applyBorder="1"/>
    <xf numFmtId="0" fontId="0" fillId="0" borderId="3" xfId="0" applyBorder="1"/>
    <xf numFmtId="0" fontId="0" fillId="0" borderId="4" xfId="0" applyNumberFormat="1" applyBorder="1"/>
    <xf numFmtId="0" fontId="0" fillId="0" borderId="5" xfId="0" applyBorder="1"/>
    <xf numFmtId="0" fontId="0" fillId="0" borderId="6" xfId="0" applyNumberFormat="1" applyBorder="1"/>
    <xf numFmtId="0" fontId="0" fillId="0" borderId="2" xfId="0" pivotButton="1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NumberFormat="1" applyBorder="1"/>
    <xf numFmtId="0" fontId="0" fillId="0" borderId="9" xfId="0" applyNumberFormat="1" applyBorder="1"/>
    <xf numFmtId="0" fontId="0" fillId="0" borderId="3" xfId="0" applyNumberFormat="1" applyBorder="1"/>
    <xf numFmtId="0" fontId="0" fillId="0" borderId="0" xfId="0" applyNumberFormat="1"/>
    <xf numFmtId="0" fontId="0" fillId="0" borderId="5" xfId="0" applyNumberFormat="1" applyBorder="1"/>
    <xf numFmtId="0" fontId="0" fillId="0" borderId="1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Monarch Eggs/Year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MV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analysis!$A$29:$A$43</c:f>
              <c:numCache>
                <c:formatCode>General</c:formatCode>
                <c:ptCount val="15"/>
                <c:pt idx="0">
                  <c:v>2003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</c:numCache>
            </c:numRef>
          </c:cat>
          <c:val>
            <c:numRef>
              <c:f>analysis!$B$29:$B$43</c:f>
              <c:numCache>
                <c:formatCode>General</c:formatCode>
                <c:ptCount val="15"/>
                <c:pt idx="6">
                  <c:v>32</c:v>
                </c:pt>
                <c:pt idx="7">
                  <c:v>18</c:v>
                </c:pt>
                <c:pt idx="8">
                  <c:v>18</c:v>
                </c:pt>
                <c:pt idx="9">
                  <c:v>99</c:v>
                </c:pt>
                <c:pt idx="10">
                  <c:v>19</c:v>
                </c:pt>
                <c:pt idx="11">
                  <c:v>182</c:v>
                </c:pt>
                <c:pt idx="12">
                  <c:v>187</c:v>
                </c:pt>
                <c:pt idx="13">
                  <c:v>289</c:v>
                </c:pt>
                <c:pt idx="14">
                  <c:v>197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E45-3E4E-B24A-69BC9D3FBE6C}"/>
            </c:ext>
          </c:extLst>
        </c:ser>
        <c:ser>
          <c:idx val="1"/>
          <c:order val="1"/>
          <c:tx>
            <c:v>RP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analysis!$A$29:$A$43</c:f>
              <c:numCache>
                <c:formatCode>General</c:formatCode>
                <c:ptCount val="15"/>
                <c:pt idx="0">
                  <c:v>2003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</c:numCache>
            </c:numRef>
          </c:cat>
          <c:val>
            <c:numRef>
              <c:f>analysis!$C$29:$C$43</c:f>
              <c:numCache>
                <c:formatCode>General</c:formatCode>
                <c:ptCount val="15"/>
                <c:pt idx="0">
                  <c:v>231</c:v>
                </c:pt>
                <c:pt idx="1">
                  <c:v>182</c:v>
                </c:pt>
                <c:pt idx="2">
                  <c:v>94</c:v>
                </c:pt>
                <c:pt idx="3">
                  <c:v>555</c:v>
                </c:pt>
                <c:pt idx="4">
                  <c:v>176</c:v>
                </c:pt>
                <c:pt idx="5">
                  <c:v>352</c:v>
                </c:pt>
                <c:pt idx="6">
                  <c:v>156</c:v>
                </c:pt>
                <c:pt idx="7">
                  <c:v>58</c:v>
                </c:pt>
                <c:pt idx="8">
                  <c:v>56</c:v>
                </c:pt>
                <c:pt idx="9">
                  <c:v>464</c:v>
                </c:pt>
                <c:pt idx="10">
                  <c:v>49</c:v>
                </c:pt>
                <c:pt idx="11">
                  <c:v>204</c:v>
                </c:pt>
                <c:pt idx="12">
                  <c:v>413</c:v>
                </c:pt>
                <c:pt idx="13">
                  <c:v>223</c:v>
                </c:pt>
                <c:pt idx="14">
                  <c:v>151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E45-3E4E-B24A-69BC9D3FBE6C}"/>
            </c:ext>
          </c:extLst>
        </c:ser>
        <c:ser>
          <c:idx val="2"/>
          <c:order val="2"/>
          <c:tx>
            <c:v>WP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analysis!$A$29:$A$43</c:f>
              <c:numCache>
                <c:formatCode>General</c:formatCode>
                <c:ptCount val="15"/>
                <c:pt idx="0">
                  <c:v>2003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</c:numCache>
            </c:numRef>
          </c:cat>
          <c:val>
            <c:numRef>
              <c:f>analysis!$D$29:$D$43</c:f>
              <c:numCache>
                <c:formatCode>General</c:formatCode>
                <c:ptCount val="15"/>
                <c:pt idx="6">
                  <c:v>17</c:v>
                </c:pt>
                <c:pt idx="7">
                  <c:v>32</c:v>
                </c:pt>
                <c:pt idx="8">
                  <c:v>77</c:v>
                </c:pt>
                <c:pt idx="9">
                  <c:v>240</c:v>
                </c:pt>
                <c:pt idx="10">
                  <c:v>11</c:v>
                </c:pt>
                <c:pt idx="11">
                  <c:v>244</c:v>
                </c:pt>
                <c:pt idx="12">
                  <c:v>271</c:v>
                </c:pt>
                <c:pt idx="13">
                  <c:v>459</c:v>
                </c:pt>
                <c:pt idx="14">
                  <c:v>107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E45-3E4E-B24A-69BC9D3FB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1038458"/>
        <c:axId val="1045394227"/>
      </c:barChart>
      <c:catAx>
        <c:axId val="9210384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45394227"/>
        <c:crosses val="autoZero"/>
        <c:auto val="1"/>
        <c:lblAlgn val="ctr"/>
        <c:lblOffset val="100"/>
        <c:noMultiLvlLbl val="1"/>
      </c:catAx>
      <c:valAx>
        <c:axId val="1045394227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Eggs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2103845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Monarch Instars/Year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MV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trendline>
            <c:name>Linear (MV)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numRef>
              <c:f>analysis!$A$81:$A$95</c:f>
              <c:numCache>
                <c:formatCode>General</c:formatCode>
                <c:ptCount val="15"/>
                <c:pt idx="0">
                  <c:v>2003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</c:numCache>
            </c:numRef>
          </c:cat>
          <c:val>
            <c:numRef>
              <c:f>analysis!$B$81:$B$95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3</c:v>
                </c:pt>
                <c:pt idx="9">
                  <c:v>7</c:v>
                </c:pt>
                <c:pt idx="10">
                  <c:v>3</c:v>
                </c:pt>
                <c:pt idx="11">
                  <c:v>30</c:v>
                </c:pt>
                <c:pt idx="12">
                  <c:v>50</c:v>
                </c:pt>
                <c:pt idx="13">
                  <c:v>62</c:v>
                </c:pt>
                <c:pt idx="14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8A0-5F4F-9CC1-175556040D83}"/>
            </c:ext>
          </c:extLst>
        </c:ser>
        <c:ser>
          <c:idx val="1"/>
          <c:order val="1"/>
          <c:tx>
            <c:v>RP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analysis!$A$81:$A$95</c:f>
              <c:numCache>
                <c:formatCode>General</c:formatCode>
                <c:ptCount val="15"/>
                <c:pt idx="0">
                  <c:v>2003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</c:numCache>
            </c:numRef>
          </c:cat>
          <c:val>
            <c:numRef>
              <c:f>analysis!$C$81:$C$95</c:f>
              <c:numCache>
                <c:formatCode>General</c:formatCode>
                <c:ptCount val="15"/>
                <c:pt idx="0">
                  <c:v>72</c:v>
                </c:pt>
                <c:pt idx="1">
                  <c:v>24</c:v>
                </c:pt>
                <c:pt idx="2">
                  <c:v>11</c:v>
                </c:pt>
                <c:pt idx="3">
                  <c:v>106</c:v>
                </c:pt>
                <c:pt idx="4">
                  <c:v>5</c:v>
                </c:pt>
                <c:pt idx="5">
                  <c:v>17</c:v>
                </c:pt>
                <c:pt idx="6">
                  <c:v>3</c:v>
                </c:pt>
                <c:pt idx="7">
                  <c:v>3</c:v>
                </c:pt>
                <c:pt idx="8">
                  <c:v>8</c:v>
                </c:pt>
                <c:pt idx="9">
                  <c:v>10</c:v>
                </c:pt>
                <c:pt idx="10">
                  <c:v>1</c:v>
                </c:pt>
                <c:pt idx="11">
                  <c:v>60</c:v>
                </c:pt>
                <c:pt idx="12">
                  <c:v>48</c:v>
                </c:pt>
                <c:pt idx="13">
                  <c:v>65</c:v>
                </c:pt>
                <c:pt idx="14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8A0-5F4F-9CC1-175556040D83}"/>
            </c:ext>
          </c:extLst>
        </c:ser>
        <c:ser>
          <c:idx val="2"/>
          <c:order val="2"/>
          <c:tx>
            <c:v>WP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analysis!$A$81:$A$95</c:f>
              <c:numCache>
                <c:formatCode>General</c:formatCode>
                <c:ptCount val="15"/>
                <c:pt idx="0">
                  <c:v>2003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</c:numCache>
            </c:numRef>
          </c:cat>
          <c:val>
            <c:numRef>
              <c:f>analysis!$D$81:$D$95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7</c:v>
                </c:pt>
                <c:pt idx="9">
                  <c:v>37</c:v>
                </c:pt>
                <c:pt idx="10">
                  <c:v>0</c:v>
                </c:pt>
                <c:pt idx="11">
                  <c:v>45</c:v>
                </c:pt>
                <c:pt idx="12">
                  <c:v>50</c:v>
                </c:pt>
                <c:pt idx="13">
                  <c:v>91</c:v>
                </c:pt>
                <c:pt idx="14">
                  <c:v>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58A0-5F4F-9CC1-175556040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6158470"/>
        <c:axId val="1760924830"/>
      </c:barChart>
      <c:catAx>
        <c:axId val="11561584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60924830"/>
        <c:crosses val="autoZero"/>
        <c:auto val="1"/>
        <c:lblAlgn val="ctr"/>
        <c:lblOffset val="100"/>
        <c:noMultiLvlLbl val="1"/>
      </c:catAx>
      <c:valAx>
        <c:axId val="17609248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Instars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5615847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Number of Instars (1-5) by Year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MV!$Z$4:$Z$11</c:f>
              <c:numCache>
                <c:formatCode>General</c:formatCode>
                <c:ptCount val="8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</c:numCache>
            </c:numRef>
          </c:cat>
          <c:val>
            <c:numRef>
              <c:f>MV!$AA$4:$AA$11</c:f>
              <c:numCache>
                <c:formatCode>General</c:formatCode>
                <c:ptCount val="8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7</c:v>
                </c:pt>
                <c:pt idx="4">
                  <c:v>3</c:v>
                </c:pt>
                <c:pt idx="5">
                  <c:v>28</c:v>
                </c:pt>
                <c:pt idx="6">
                  <c:v>50</c:v>
                </c:pt>
                <c:pt idx="7">
                  <c:v>62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702-9141-BB06-947F5EFE6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5386448"/>
        <c:axId val="1157347310"/>
      </c:barChart>
      <c:catAx>
        <c:axId val="1925386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57347310"/>
        <c:crosses val="autoZero"/>
        <c:auto val="1"/>
        <c:lblAlgn val="ctr"/>
        <c:lblOffset val="100"/>
        <c:noMultiLvlLbl val="1"/>
      </c:catAx>
      <c:valAx>
        <c:axId val="11573473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Instar Level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2538644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Number of Eggs by Year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MV!$T$18:$T$25</c:f>
              <c:numCache>
                <c:formatCode>General</c:formatCode>
                <c:ptCount val="8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</c:numCache>
            </c:numRef>
          </c:cat>
          <c:val>
            <c:numRef>
              <c:f>MV!$U$18:$U$25</c:f>
              <c:numCache>
                <c:formatCode>General</c:formatCode>
                <c:ptCount val="8"/>
                <c:pt idx="0">
                  <c:v>32</c:v>
                </c:pt>
                <c:pt idx="1">
                  <c:v>18</c:v>
                </c:pt>
                <c:pt idx="2">
                  <c:v>18</c:v>
                </c:pt>
                <c:pt idx="3">
                  <c:v>99</c:v>
                </c:pt>
                <c:pt idx="4">
                  <c:v>19</c:v>
                </c:pt>
                <c:pt idx="5">
                  <c:v>182</c:v>
                </c:pt>
                <c:pt idx="6">
                  <c:v>187</c:v>
                </c:pt>
                <c:pt idx="7">
                  <c:v>289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390-5A4C-87C8-29B8E4FE5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9035058"/>
        <c:axId val="1588007199"/>
      </c:barChart>
      <c:catAx>
        <c:axId val="15090350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8007199"/>
        <c:crosses val="autoZero"/>
        <c:auto val="1"/>
        <c:lblAlgn val="ctr"/>
        <c:lblOffset val="100"/>
        <c:noMultiLvlLbl val="1"/>
      </c:catAx>
      <c:valAx>
        <c:axId val="15880071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Eggs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0903505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552450</xdr:colOff>
      <xdr:row>30</xdr:row>
      <xdr:rowOff>133350</xdr:rowOff>
    </xdr:from>
    <xdr:ext cx="8086725" cy="5000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1104900</xdr:colOff>
      <xdr:row>78</xdr:row>
      <xdr:rowOff>28575</xdr:rowOff>
    </xdr:from>
    <xdr:ext cx="7924800" cy="42576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238125</xdr:colOff>
      <xdr:row>0</xdr:row>
      <xdr:rowOff>523875</xdr:rowOff>
    </xdr:from>
    <xdr:ext cx="6753225" cy="2305050"/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24</xdr:col>
      <xdr:colOff>114300</xdr:colOff>
      <xdr:row>16</xdr:row>
      <xdr:rowOff>19050</xdr:rowOff>
    </xdr:from>
    <xdr:ext cx="5514975" cy="2876550"/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Cormac Billick" refreshedDate="45859.569572222223" refreshedVersion="8" recordCount="74" xr:uid="{00000000-000A-0000-FFFF-FFFF02000000}">
  <cacheSource type="worksheet">
    <worksheetSource ref="A1:N75" sheet="MV"/>
  </cacheSource>
  <cacheFields count="14">
    <cacheField name="Branch" numFmtId="0">
      <sharedItems/>
    </cacheField>
    <cacheField name="Date" numFmtId="14">
      <sharedItems containsSemiMixedTypes="0" containsNonDate="0" containsDate="1" containsString="0" minDate="2012-06-27T00:00:00" maxDate="2019-08-21T00:00:00"/>
    </cacheField>
    <cacheField name="Year" numFmtId="0">
      <sharedItems containsSemiMixedTypes="0" containsString="0" containsNumber="1" containsInteger="1" minValue="2012" maxValue="2019" count="8">
        <n v="2012"/>
        <n v="2013"/>
        <n v="2014"/>
        <n v="2015"/>
        <n v="2016"/>
        <n v="2017"/>
        <n v="2018"/>
        <n v="2019"/>
      </sharedItems>
    </cacheField>
    <cacheField name="# of Milkweeds" numFmtId="0">
      <sharedItems containsSemiMixedTypes="0" containsString="0" containsNumber="1" containsInteger="1" minValue="23" maxValue="159"/>
    </cacheField>
    <cacheField name="Eggs" numFmtId="0">
      <sharedItems containsSemiMixedTypes="0" containsString="0" containsNumber="1" containsInteger="1" minValue="0" maxValue="65"/>
    </cacheField>
    <cacheField name="Firsts" numFmtId="0">
      <sharedItems containsSemiMixedTypes="0" containsString="0" containsNumber="1" containsInteger="1" minValue="0" maxValue="12"/>
    </cacheField>
    <cacheField name="Seconds" numFmtId="0">
      <sharedItems containsSemiMixedTypes="0" containsString="0" containsNumber="1" containsInteger="1" minValue="0" maxValue="9"/>
    </cacheField>
    <cacheField name="Thirds" numFmtId="0">
      <sharedItems containsSemiMixedTypes="0" containsString="0" containsNumber="1" containsInteger="1" minValue="0" maxValue="4"/>
    </cacheField>
    <cacheField name="Fourths" numFmtId="0">
      <sharedItems containsSemiMixedTypes="0" containsString="0" containsNumber="1" containsInteger="1" minValue="0" maxValue="3"/>
    </cacheField>
    <cacheField name="Fifths" numFmtId="0">
      <sharedItems containsSemiMixedTypes="0" containsString="0" containsNumber="1" containsInteger="1" minValue="0" maxValue="2"/>
    </cacheField>
    <cacheField name="Live Pupae" numFmtId="0">
      <sharedItems containsSemiMixedTypes="0" containsString="0" containsNumber="1" containsInteger="1" minValue="0" maxValue="2"/>
    </cacheField>
    <cacheField name="Live adult females" numFmtId="0">
      <sharedItems containsString="0" containsBlank="1" containsNumber="1" containsInteger="1" minValue="0" maxValue="2"/>
    </cacheField>
    <cacheField name="Live Adult Unkowns" numFmtId="0">
      <sharedItems containsString="0" containsBlank="1" containsNumber="1" containsInteger="1" minValue="0" maxValue="1"/>
    </cacheField>
    <cacheField name="Sum of instars" numFmtId="0">
      <sharedItems containsSemiMixedTypes="0" containsString="0" containsNumber="1" containsInteger="1" minValue="0" maxValue="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Cormac Billick" refreshedDate="45859.569572337961" refreshedVersion="8" recordCount="74" xr:uid="{00000000-000A-0000-FFFF-FFFF01000000}">
  <cacheSource type="worksheet">
    <worksheetSource ref="A1:M75" sheet="MV"/>
  </cacheSource>
  <cacheFields count="13">
    <cacheField name="Branch" numFmtId="0">
      <sharedItems/>
    </cacheField>
    <cacheField name="Date" numFmtId="14">
      <sharedItems containsSemiMixedTypes="0" containsNonDate="0" containsDate="1" containsString="0" minDate="2012-06-27T00:00:00" maxDate="2019-08-21T00:00:00"/>
    </cacheField>
    <cacheField name="Year" numFmtId="0">
      <sharedItems containsSemiMixedTypes="0" containsString="0" containsNumber="1" containsInteger="1" minValue="2012" maxValue="2019" count="8">
        <n v="2012"/>
        <n v="2013"/>
        <n v="2014"/>
        <n v="2015"/>
        <n v="2016"/>
        <n v="2017"/>
        <n v="2018"/>
        <n v="2019"/>
      </sharedItems>
    </cacheField>
    <cacheField name="# of Milkweeds" numFmtId="0">
      <sharedItems containsSemiMixedTypes="0" containsString="0" containsNumber="1" containsInteger="1" minValue="23" maxValue="159"/>
    </cacheField>
    <cacheField name="Eggs" numFmtId="0">
      <sharedItems containsSemiMixedTypes="0" containsString="0" containsNumber="1" containsInteger="1" minValue="0" maxValue="65"/>
    </cacheField>
    <cacheField name="Firsts" numFmtId="0">
      <sharedItems containsSemiMixedTypes="0" containsString="0" containsNumber="1" containsInteger="1" minValue="0" maxValue="12"/>
    </cacheField>
    <cacheField name="Seconds" numFmtId="0">
      <sharedItems containsSemiMixedTypes="0" containsString="0" containsNumber="1" containsInteger="1" minValue="0" maxValue="9"/>
    </cacheField>
    <cacheField name="Thirds" numFmtId="0">
      <sharedItems containsSemiMixedTypes="0" containsString="0" containsNumber="1" containsInteger="1" minValue="0" maxValue="4"/>
    </cacheField>
    <cacheField name="Fourths" numFmtId="0">
      <sharedItems containsSemiMixedTypes="0" containsString="0" containsNumber="1" containsInteger="1" minValue="0" maxValue="3"/>
    </cacheField>
    <cacheField name="Fifths" numFmtId="0">
      <sharedItems containsSemiMixedTypes="0" containsString="0" containsNumber="1" containsInteger="1" minValue="0" maxValue="2"/>
    </cacheField>
    <cacheField name="Live Pupae" numFmtId="0">
      <sharedItems containsSemiMixedTypes="0" containsString="0" containsNumber="1" containsInteger="1" minValue="0" maxValue="2"/>
    </cacheField>
    <cacheField name="Live adult females" numFmtId="0">
      <sharedItems containsString="0" containsBlank="1" containsNumber="1" containsInteger="1" minValue="0" maxValue="2"/>
    </cacheField>
    <cacheField name="Live Adult Unkowns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Cormac Billick" refreshedDate="45859.569572337961" refreshedVersion="8" recordCount="302" xr:uid="{00000000-000A-0000-FFFF-FFFF00000000}">
  <cacheSource type="worksheet">
    <worksheetSource ref="A1:K303" sheet="Sheet1"/>
  </cacheSource>
  <cacheFields count="11">
    <cacheField name="Branch" numFmtId="0">
      <sharedItems count="3">
        <s v="Riverside Park"/>
        <s v="Washington Park"/>
        <s v="Menomonee Valley"/>
      </sharedItems>
    </cacheField>
    <cacheField name="Date" numFmtId="14">
      <sharedItems containsSemiMixedTypes="0" containsNonDate="0" containsDate="1" containsString="0" minDate="2003-06-18T00:00:00" maxDate="2021-08-20T00:00:00"/>
    </cacheField>
    <cacheField name="Year" numFmtId="0">
      <sharedItems containsSemiMixedTypes="0" containsString="0" containsNumber="1" containsInteger="1" minValue="2003" maxValue="2021" count="15">
        <n v="2019"/>
        <n v="2018"/>
        <n v="2017"/>
        <n v="2016"/>
        <n v="2015"/>
        <n v="2014"/>
        <n v="2013"/>
        <n v="2012"/>
        <n v="2011"/>
        <n v="2008"/>
        <n v="2007"/>
        <n v="2006"/>
        <n v="2005"/>
        <n v="2003"/>
        <n v="2021"/>
      </sharedItems>
    </cacheField>
    <cacheField name="# of Milkweeds" numFmtId="0">
      <sharedItems containsSemiMixedTypes="0" containsString="0" containsNumber="1" containsInteger="1" minValue="20" maxValue="181"/>
    </cacheField>
    <cacheField name="Eggs" numFmtId="0">
      <sharedItems containsSemiMixedTypes="0" containsString="0" containsNumber="1" containsInteger="1" minValue="0" maxValue="134"/>
    </cacheField>
    <cacheField name="Firsts" numFmtId="0">
      <sharedItems containsSemiMixedTypes="0" containsString="0" containsNumber="1" containsInteger="1" minValue="0" maxValue="29"/>
    </cacheField>
    <cacheField name="Seconds" numFmtId="0">
      <sharedItems containsSemiMixedTypes="0" containsString="0" containsNumber="1" containsInteger="1" minValue="0" maxValue="16"/>
    </cacheField>
    <cacheField name="Thirds" numFmtId="0">
      <sharedItems containsSemiMixedTypes="0" containsString="0" containsNumber="1" containsInteger="1" minValue="0" maxValue="5"/>
    </cacheField>
    <cacheField name="Fourths" numFmtId="0">
      <sharedItems containsSemiMixedTypes="0" containsString="0" containsNumber="1" containsInteger="1" minValue="0" maxValue="6"/>
    </cacheField>
    <cacheField name="Fifths" numFmtId="0">
      <sharedItems containsSemiMixedTypes="0" containsString="0" containsNumber="1" containsInteger="1" minValue="0" maxValue="5"/>
    </cacheField>
    <cacheField name="Live Pupae" numFmtId="0">
      <sharedItems containsString="0" containsBlank="1" containsNumber="1" containsInteger="1" minValue="0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s v="Menomonee Valley"/>
    <d v="2012-06-27T00:00:00"/>
    <x v="0"/>
    <n v="57"/>
    <n v="2"/>
    <n v="0"/>
    <n v="0"/>
    <n v="0"/>
    <n v="0"/>
    <n v="0"/>
    <n v="0"/>
    <m/>
    <m/>
    <n v="0"/>
  </r>
  <r>
    <s v="Menomonee Valley"/>
    <d v="2012-07-04T00:00:00"/>
    <x v="0"/>
    <n v="133"/>
    <n v="4"/>
    <n v="0"/>
    <n v="0"/>
    <n v="0"/>
    <n v="0"/>
    <n v="0"/>
    <n v="0"/>
    <m/>
    <m/>
    <n v="0"/>
  </r>
  <r>
    <s v="Menomonee Valley"/>
    <d v="2012-07-11T00:00:00"/>
    <x v="0"/>
    <n v="103"/>
    <n v="3"/>
    <n v="0"/>
    <n v="0"/>
    <n v="0"/>
    <n v="0"/>
    <n v="0"/>
    <n v="0"/>
    <m/>
    <m/>
    <n v="0"/>
  </r>
  <r>
    <s v="Menomonee Valley"/>
    <d v="2012-07-18T00:00:00"/>
    <x v="0"/>
    <n v="104"/>
    <n v="6"/>
    <n v="0"/>
    <n v="0"/>
    <n v="0"/>
    <n v="0"/>
    <n v="0"/>
    <n v="0"/>
    <m/>
    <m/>
    <n v="0"/>
  </r>
  <r>
    <s v="Menomonee Valley"/>
    <d v="2012-07-25T00:00:00"/>
    <x v="0"/>
    <n v="111"/>
    <n v="3"/>
    <n v="0"/>
    <n v="0"/>
    <n v="0"/>
    <n v="0"/>
    <n v="0"/>
    <n v="0"/>
    <m/>
    <m/>
    <n v="0"/>
  </r>
  <r>
    <s v="Menomonee Valley"/>
    <d v="2012-08-01T00:00:00"/>
    <x v="0"/>
    <n v="117"/>
    <n v="7"/>
    <n v="1"/>
    <n v="0"/>
    <n v="0"/>
    <n v="0"/>
    <n v="0"/>
    <n v="0"/>
    <m/>
    <m/>
    <n v="1"/>
  </r>
  <r>
    <s v="Menomonee Valley"/>
    <d v="2012-08-08T00:00:00"/>
    <x v="0"/>
    <n v="106"/>
    <n v="1"/>
    <n v="1"/>
    <n v="0"/>
    <n v="0"/>
    <n v="0"/>
    <n v="0"/>
    <n v="0"/>
    <m/>
    <m/>
    <n v="1"/>
  </r>
  <r>
    <s v="Menomonee Valley"/>
    <d v="2012-08-15T00:00:00"/>
    <x v="0"/>
    <n v="110"/>
    <n v="1"/>
    <n v="0"/>
    <n v="0"/>
    <n v="1"/>
    <n v="0"/>
    <n v="0"/>
    <n v="0"/>
    <m/>
    <m/>
    <n v="1"/>
  </r>
  <r>
    <s v="Menomonee Valley"/>
    <d v="2012-08-22T00:00:00"/>
    <x v="0"/>
    <n v="108"/>
    <n v="5"/>
    <n v="0"/>
    <n v="0"/>
    <n v="0"/>
    <n v="0"/>
    <n v="0"/>
    <n v="0"/>
    <m/>
    <m/>
    <n v="0"/>
  </r>
  <r>
    <s v="Menomonee Valley"/>
    <d v="2013-07-10T00:00:00"/>
    <x v="1"/>
    <n v="106"/>
    <n v="1"/>
    <n v="0"/>
    <n v="0"/>
    <n v="0"/>
    <n v="0"/>
    <n v="0"/>
    <n v="0"/>
    <m/>
    <m/>
    <n v="0"/>
  </r>
  <r>
    <s v="Menomonee Valley"/>
    <d v="2013-07-17T00:00:00"/>
    <x v="1"/>
    <n v="126"/>
    <n v="0"/>
    <n v="0"/>
    <n v="0"/>
    <n v="0"/>
    <n v="0"/>
    <n v="0"/>
    <n v="0"/>
    <m/>
    <m/>
    <n v="0"/>
  </r>
  <r>
    <s v="Menomonee Valley"/>
    <d v="2013-07-24T00:00:00"/>
    <x v="1"/>
    <n v="109"/>
    <n v="9"/>
    <n v="0"/>
    <n v="0"/>
    <n v="0"/>
    <n v="0"/>
    <n v="0"/>
    <n v="0"/>
    <m/>
    <m/>
    <n v="0"/>
  </r>
  <r>
    <s v="Menomonee Valley"/>
    <d v="2013-07-31T00:00:00"/>
    <x v="1"/>
    <n v="95"/>
    <n v="0"/>
    <n v="0"/>
    <n v="0"/>
    <n v="0"/>
    <n v="0"/>
    <n v="0"/>
    <n v="0"/>
    <m/>
    <m/>
    <n v="0"/>
  </r>
  <r>
    <s v="Menomonee Valley"/>
    <d v="2013-08-07T00:00:00"/>
    <x v="1"/>
    <n v="103"/>
    <n v="3"/>
    <n v="0"/>
    <n v="0"/>
    <n v="0"/>
    <n v="0"/>
    <n v="0"/>
    <n v="0"/>
    <m/>
    <m/>
    <n v="0"/>
  </r>
  <r>
    <s v="Menomonee Valley"/>
    <d v="2013-08-14T00:00:00"/>
    <x v="1"/>
    <n v="103"/>
    <n v="4"/>
    <n v="0"/>
    <n v="0"/>
    <n v="0"/>
    <n v="0"/>
    <n v="0"/>
    <n v="0"/>
    <m/>
    <m/>
    <n v="0"/>
  </r>
  <r>
    <s v="Menomonee Valley"/>
    <d v="2013-08-19T00:00:00"/>
    <x v="1"/>
    <n v="23"/>
    <n v="0"/>
    <n v="0"/>
    <n v="0"/>
    <n v="0"/>
    <n v="0"/>
    <n v="0"/>
    <n v="0"/>
    <m/>
    <m/>
    <n v="0"/>
  </r>
  <r>
    <s v="Menomonee Valley"/>
    <d v="2013-08-26T00:00:00"/>
    <x v="1"/>
    <n v="100"/>
    <n v="1"/>
    <n v="0"/>
    <n v="0"/>
    <n v="0"/>
    <n v="0"/>
    <n v="0"/>
    <n v="0"/>
    <m/>
    <m/>
    <n v="0"/>
  </r>
  <r>
    <s v="Menomonee Valley"/>
    <d v="2014-07-02T00:00:00"/>
    <x v="2"/>
    <n v="70"/>
    <n v="0"/>
    <n v="0"/>
    <n v="0"/>
    <n v="0"/>
    <n v="0"/>
    <n v="0"/>
    <n v="0"/>
    <m/>
    <m/>
    <n v="0"/>
  </r>
  <r>
    <s v="Menomonee Valley"/>
    <d v="2014-07-08T00:00:00"/>
    <x v="2"/>
    <n v="78"/>
    <n v="10"/>
    <n v="0"/>
    <n v="0"/>
    <n v="2"/>
    <n v="0"/>
    <n v="0"/>
    <n v="0"/>
    <m/>
    <m/>
    <n v="2"/>
  </r>
  <r>
    <s v="Menomonee Valley"/>
    <d v="2014-07-10T00:00:00"/>
    <x v="2"/>
    <n v="104"/>
    <n v="5"/>
    <n v="0"/>
    <n v="0"/>
    <n v="0"/>
    <n v="0"/>
    <n v="0"/>
    <n v="0"/>
    <m/>
    <m/>
    <n v="0"/>
  </r>
  <r>
    <s v="Menomonee Valley"/>
    <d v="2014-07-23T00:00:00"/>
    <x v="2"/>
    <n v="100"/>
    <n v="0"/>
    <n v="0"/>
    <n v="0"/>
    <n v="1"/>
    <n v="0"/>
    <n v="0"/>
    <n v="0"/>
    <m/>
    <m/>
    <n v="1"/>
  </r>
  <r>
    <s v="Menomonee Valley"/>
    <d v="2014-07-30T00:00:00"/>
    <x v="2"/>
    <n v="104"/>
    <n v="1"/>
    <n v="0"/>
    <n v="0"/>
    <n v="0"/>
    <n v="0"/>
    <n v="0"/>
    <n v="0"/>
    <m/>
    <m/>
    <n v="0"/>
  </r>
  <r>
    <s v="Menomonee Valley"/>
    <d v="2014-08-04T00:00:00"/>
    <x v="2"/>
    <n v="100"/>
    <n v="2"/>
    <n v="0"/>
    <n v="0"/>
    <n v="0"/>
    <n v="0"/>
    <n v="0"/>
    <n v="0"/>
    <m/>
    <m/>
    <n v="0"/>
  </r>
  <r>
    <s v="Menomonee Valley"/>
    <d v="2014-08-13T00:00:00"/>
    <x v="2"/>
    <n v="100"/>
    <n v="0"/>
    <n v="0"/>
    <n v="0"/>
    <n v="0"/>
    <n v="0"/>
    <n v="0"/>
    <n v="0"/>
    <m/>
    <m/>
    <n v="0"/>
  </r>
  <r>
    <s v="Menomonee Valley"/>
    <d v="2014-09-05T00:00:00"/>
    <x v="2"/>
    <n v="103"/>
    <n v="0"/>
    <n v="0"/>
    <n v="0"/>
    <n v="0"/>
    <n v="0"/>
    <n v="0"/>
    <n v="0"/>
    <m/>
    <m/>
    <n v="0"/>
  </r>
  <r>
    <s v="Menomonee Valley"/>
    <d v="2015-06-23T00:00:00"/>
    <x v="3"/>
    <n v="107"/>
    <n v="0"/>
    <n v="0"/>
    <n v="2"/>
    <n v="0"/>
    <n v="0"/>
    <n v="0"/>
    <n v="0"/>
    <m/>
    <m/>
    <n v="2"/>
  </r>
  <r>
    <s v="Menomonee Valley"/>
    <d v="2015-06-30T00:00:00"/>
    <x v="3"/>
    <n v="103"/>
    <n v="0"/>
    <n v="0"/>
    <n v="0"/>
    <n v="0"/>
    <n v="0"/>
    <n v="0"/>
    <n v="0"/>
    <m/>
    <m/>
    <n v="0"/>
  </r>
  <r>
    <s v="Menomonee Valley"/>
    <d v="2015-07-07T00:00:00"/>
    <x v="3"/>
    <n v="116"/>
    <n v="7"/>
    <n v="0"/>
    <n v="0"/>
    <n v="0"/>
    <n v="0"/>
    <n v="0"/>
    <n v="0"/>
    <m/>
    <m/>
    <n v="0"/>
  </r>
  <r>
    <s v="Menomonee Valley"/>
    <d v="2015-07-14T00:00:00"/>
    <x v="3"/>
    <n v="102"/>
    <n v="14"/>
    <n v="0"/>
    <n v="1"/>
    <n v="0"/>
    <n v="0"/>
    <n v="0"/>
    <n v="0"/>
    <m/>
    <m/>
    <n v="1"/>
  </r>
  <r>
    <s v="Menomonee Valley"/>
    <d v="2015-07-21T00:00:00"/>
    <x v="3"/>
    <n v="100"/>
    <n v="22"/>
    <n v="0"/>
    <n v="0"/>
    <n v="0"/>
    <n v="0"/>
    <n v="0"/>
    <n v="0"/>
    <m/>
    <m/>
    <n v="0"/>
  </r>
  <r>
    <s v="Menomonee Valley"/>
    <d v="2015-07-28T00:00:00"/>
    <x v="3"/>
    <n v="105"/>
    <n v="7"/>
    <n v="0"/>
    <n v="0"/>
    <n v="0"/>
    <n v="0"/>
    <n v="0"/>
    <n v="0"/>
    <m/>
    <m/>
    <n v="0"/>
  </r>
  <r>
    <s v="Menomonee Valley"/>
    <d v="2015-08-04T00:00:00"/>
    <x v="3"/>
    <n v="130"/>
    <n v="36"/>
    <n v="1"/>
    <n v="0"/>
    <n v="0"/>
    <n v="0"/>
    <n v="0"/>
    <n v="0"/>
    <m/>
    <m/>
    <n v="1"/>
  </r>
  <r>
    <s v="Menomonee Valley"/>
    <d v="2015-08-11T00:00:00"/>
    <x v="3"/>
    <n v="107"/>
    <n v="8"/>
    <n v="2"/>
    <n v="0"/>
    <n v="0"/>
    <n v="0"/>
    <n v="0"/>
    <n v="0"/>
    <m/>
    <m/>
    <n v="2"/>
  </r>
  <r>
    <s v="Menomonee Valley"/>
    <d v="2015-08-20T00:00:00"/>
    <x v="3"/>
    <n v="100"/>
    <n v="2"/>
    <n v="1"/>
    <n v="0"/>
    <n v="0"/>
    <n v="0"/>
    <n v="0"/>
    <n v="0"/>
    <m/>
    <m/>
    <n v="1"/>
  </r>
  <r>
    <s v="Menomonee Valley"/>
    <d v="2015-08-25T00:00:00"/>
    <x v="3"/>
    <n v="103"/>
    <n v="1"/>
    <n v="0"/>
    <n v="0"/>
    <n v="0"/>
    <n v="0"/>
    <n v="0"/>
    <n v="0"/>
    <m/>
    <m/>
    <n v="0"/>
  </r>
  <r>
    <s v="Menomonee Valley"/>
    <d v="2015-09-01T00:00:00"/>
    <x v="3"/>
    <n v="100"/>
    <n v="2"/>
    <n v="0"/>
    <n v="0"/>
    <n v="0"/>
    <n v="0"/>
    <n v="0"/>
    <n v="0"/>
    <m/>
    <m/>
    <n v="0"/>
  </r>
  <r>
    <s v="Menomonee Valley"/>
    <d v="2016-06-21T00:00:00"/>
    <x v="4"/>
    <n v="101"/>
    <n v="0"/>
    <n v="0"/>
    <n v="0"/>
    <n v="0"/>
    <n v="0"/>
    <n v="0"/>
    <n v="0"/>
    <m/>
    <m/>
    <n v="0"/>
  </r>
  <r>
    <s v="Menomonee Valley"/>
    <d v="2016-06-28T00:00:00"/>
    <x v="4"/>
    <n v="100"/>
    <n v="0"/>
    <n v="0"/>
    <n v="0"/>
    <n v="0"/>
    <n v="0"/>
    <n v="0"/>
    <n v="0"/>
    <m/>
    <m/>
    <n v="0"/>
  </r>
  <r>
    <s v="Menomonee Valley"/>
    <d v="2016-07-05T00:00:00"/>
    <x v="4"/>
    <n v="106"/>
    <n v="2"/>
    <n v="0"/>
    <n v="0"/>
    <n v="0"/>
    <n v="0"/>
    <n v="0"/>
    <n v="0"/>
    <m/>
    <m/>
    <n v="0"/>
  </r>
  <r>
    <s v="Menomonee Valley"/>
    <d v="2016-07-12T00:00:00"/>
    <x v="4"/>
    <n v="100"/>
    <n v="0"/>
    <n v="0"/>
    <n v="0"/>
    <n v="0"/>
    <n v="0"/>
    <n v="0"/>
    <n v="0"/>
    <m/>
    <m/>
    <n v="0"/>
  </r>
  <r>
    <s v="Menomonee Valley"/>
    <d v="2016-07-19T00:00:00"/>
    <x v="4"/>
    <n v="100"/>
    <n v="0"/>
    <n v="0"/>
    <n v="0"/>
    <n v="0"/>
    <n v="0"/>
    <n v="0"/>
    <n v="0"/>
    <m/>
    <m/>
    <n v="0"/>
  </r>
  <r>
    <s v="Menomonee Valley"/>
    <d v="2016-07-27T00:00:00"/>
    <x v="4"/>
    <n v="105"/>
    <n v="6"/>
    <n v="1"/>
    <n v="0"/>
    <n v="0"/>
    <n v="0"/>
    <n v="0"/>
    <n v="0"/>
    <m/>
    <m/>
    <n v="1"/>
  </r>
  <r>
    <s v="Menomonee Valley"/>
    <d v="2016-08-02T00:00:00"/>
    <x v="4"/>
    <n v="100"/>
    <n v="0"/>
    <n v="1"/>
    <n v="0"/>
    <n v="0"/>
    <n v="0"/>
    <n v="0"/>
    <n v="0"/>
    <m/>
    <m/>
    <n v="1"/>
  </r>
  <r>
    <s v="Menomonee Valley"/>
    <d v="2016-08-09T00:00:00"/>
    <x v="4"/>
    <n v="112"/>
    <n v="1"/>
    <n v="0"/>
    <n v="0"/>
    <n v="0"/>
    <n v="0"/>
    <n v="1"/>
    <n v="0"/>
    <m/>
    <m/>
    <n v="1"/>
  </r>
  <r>
    <s v="Menomonee Valley"/>
    <d v="2016-08-16T00:00:00"/>
    <x v="4"/>
    <n v="100"/>
    <n v="10"/>
    <n v="0"/>
    <n v="0"/>
    <n v="0"/>
    <n v="0"/>
    <n v="0"/>
    <n v="0"/>
    <m/>
    <m/>
    <n v="0"/>
  </r>
  <r>
    <s v="Menomonee Valley"/>
    <d v="2017-06-06T00:00:00"/>
    <x v="5"/>
    <n v="140"/>
    <n v="8"/>
    <n v="0"/>
    <n v="0"/>
    <n v="3"/>
    <n v="0"/>
    <n v="0"/>
    <n v="0"/>
    <m/>
    <m/>
    <n v="3"/>
  </r>
  <r>
    <s v="Menomonee Valley"/>
    <d v="2017-06-13T00:00:00"/>
    <x v="5"/>
    <n v="58"/>
    <n v="2"/>
    <n v="1"/>
    <n v="1"/>
    <n v="0"/>
    <n v="0"/>
    <n v="0"/>
    <n v="0"/>
    <m/>
    <m/>
    <n v="2"/>
  </r>
  <r>
    <s v="Menomonee Valley"/>
    <d v="2017-06-20T00:00:00"/>
    <x v="5"/>
    <n v="128"/>
    <n v="16"/>
    <n v="0"/>
    <n v="0"/>
    <n v="3"/>
    <n v="1"/>
    <n v="0"/>
    <n v="0"/>
    <m/>
    <m/>
    <n v="4"/>
  </r>
  <r>
    <s v="Menomonee Valley"/>
    <d v="2017-06-27T00:00:00"/>
    <x v="5"/>
    <n v="114"/>
    <n v="11"/>
    <n v="0"/>
    <n v="0"/>
    <n v="0"/>
    <n v="1"/>
    <n v="0"/>
    <n v="0"/>
    <m/>
    <m/>
    <n v="1"/>
  </r>
  <r>
    <s v="Menomonee Valley"/>
    <d v="2017-07-04T00:00:00"/>
    <x v="5"/>
    <n v="100"/>
    <n v="6"/>
    <n v="0"/>
    <n v="0"/>
    <n v="0"/>
    <n v="0"/>
    <n v="0"/>
    <n v="0"/>
    <m/>
    <m/>
    <n v="0"/>
  </r>
  <r>
    <s v="Menomonee Valley"/>
    <d v="2017-07-11T00:00:00"/>
    <x v="5"/>
    <n v="110"/>
    <n v="8"/>
    <n v="0"/>
    <n v="0"/>
    <n v="0"/>
    <n v="0"/>
    <n v="0"/>
    <n v="0"/>
    <m/>
    <m/>
    <n v="0"/>
  </r>
  <r>
    <s v="Menomonee Valley"/>
    <d v="2017-07-18T00:00:00"/>
    <x v="5"/>
    <n v="121"/>
    <n v="11"/>
    <n v="1"/>
    <n v="0"/>
    <n v="0"/>
    <n v="0"/>
    <n v="0"/>
    <n v="0"/>
    <m/>
    <m/>
    <n v="1"/>
  </r>
  <r>
    <s v="Menomonee Valley"/>
    <d v="2017-07-25T00:00:00"/>
    <x v="5"/>
    <n v="105"/>
    <n v="22"/>
    <n v="3"/>
    <n v="0"/>
    <n v="0"/>
    <n v="0"/>
    <n v="0"/>
    <n v="0"/>
    <m/>
    <m/>
    <n v="3"/>
  </r>
  <r>
    <s v="Menomonee Valley"/>
    <d v="2017-08-01T00:00:00"/>
    <x v="5"/>
    <n v="102"/>
    <n v="22"/>
    <n v="0"/>
    <n v="0"/>
    <n v="0"/>
    <n v="0"/>
    <n v="0"/>
    <n v="0"/>
    <m/>
    <m/>
    <n v="0"/>
  </r>
  <r>
    <s v="Menomonee Valley"/>
    <d v="2017-08-08T00:00:00"/>
    <x v="5"/>
    <n v="102"/>
    <n v="35"/>
    <n v="0"/>
    <n v="2"/>
    <n v="2"/>
    <n v="0"/>
    <n v="0"/>
    <n v="0"/>
    <m/>
    <m/>
    <n v="4"/>
  </r>
  <r>
    <s v="Menomonee Valley"/>
    <d v="2017-08-15T00:00:00"/>
    <x v="5"/>
    <n v="107"/>
    <n v="41"/>
    <n v="2"/>
    <n v="8"/>
    <n v="0"/>
    <n v="0"/>
    <n v="0"/>
    <n v="2"/>
    <m/>
    <m/>
    <n v="10"/>
  </r>
  <r>
    <s v="Menomonee Valley"/>
    <d v="2018-06-26T00:00:00"/>
    <x v="6"/>
    <n v="103"/>
    <n v="34"/>
    <n v="0"/>
    <n v="2"/>
    <n v="0"/>
    <n v="0"/>
    <n v="0"/>
    <n v="0"/>
    <n v="0"/>
    <n v="0"/>
    <n v="2"/>
  </r>
  <r>
    <s v="Menomonee Valley"/>
    <d v="2018-07-03T00:00:00"/>
    <x v="6"/>
    <n v="100"/>
    <n v="12"/>
    <n v="2"/>
    <n v="2"/>
    <n v="0"/>
    <n v="0"/>
    <n v="0"/>
    <n v="0"/>
    <n v="0"/>
    <n v="0"/>
    <n v="4"/>
  </r>
  <r>
    <s v="Menomonee Valley"/>
    <d v="2018-07-10T00:00:00"/>
    <x v="6"/>
    <n v="103"/>
    <n v="10"/>
    <n v="0"/>
    <n v="1"/>
    <n v="0"/>
    <n v="0"/>
    <n v="0"/>
    <n v="0"/>
    <n v="0"/>
    <n v="0"/>
    <n v="1"/>
  </r>
  <r>
    <s v="Menomonee Valley"/>
    <d v="2018-07-17T00:00:00"/>
    <x v="6"/>
    <n v="101"/>
    <n v="11"/>
    <n v="1"/>
    <n v="0"/>
    <n v="1"/>
    <n v="0"/>
    <n v="1"/>
    <n v="0"/>
    <n v="0"/>
    <n v="0"/>
    <n v="3"/>
  </r>
  <r>
    <s v="Menomonee Valley"/>
    <d v="2018-07-24T00:00:00"/>
    <x v="6"/>
    <n v="100"/>
    <n v="3"/>
    <n v="11"/>
    <n v="2"/>
    <n v="1"/>
    <n v="0"/>
    <n v="0"/>
    <n v="0"/>
    <n v="1"/>
    <n v="0"/>
    <n v="14"/>
  </r>
  <r>
    <s v="Menomonee Valley"/>
    <d v="2018-07-31T00:00:00"/>
    <x v="6"/>
    <n v="106"/>
    <n v="31"/>
    <n v="0"/>
    <n v="0"/>
    <n v="0"/>
    <n v="0"/>
    <n v="1"/>
    <n v="0"/>
    <n v="0"/>
    <n v="0"/>
    <n v="1"/>
  </r>
  <r>
    <s v="Menomonee Valley"/>
    <d v="2018-08-14T00:00:00"/>
    <x v="6"/>
    <n v="105"/>
    <n v="35"/>
    <n v="12"/>
    <n v="4"/>
    <n v="2"/>
    <n v="0"/>
    <n v="1"/>
    <n v="0"/>
    <n v="0"/>
    <n v="0"/>
    <n v="19"/>
  </r>
  <r>
    <s v="Menomonee Valley"/>
    <d v="2018-08-21T00:00:00"/>
    <x v="6"/>
    <n v="104"/>
    <n v="51"/>
    <n v="1"/>
    <n v="1"/>
    <n v="2"/>
    <n v="1"/>
    <n v="1"/>
    <n v="0"/>
    <n v="2"/>
    <n v="0"/>
    <n v="6"/>
  </r>
  <r>
    <s v="Menomonee Valley"/>
    <d v="2019-06-11T00:00:00"/>
    <x v="7"/>
    <n v="159"/>
    <n v="29"/>
    <n v="9"/>
    <n v="6"/>
    <n v="0"/>
    <n v="0"/>
    <n v="0"/>
    <n v="0"/>
    <n v="0"/>
    <n v="0"/>
    <n v="15"/>
  </r>
  <r>
    <s v="Menomonee Valley"/>
    <d v="2019-06-25T00:00:00"/>
    <x v="7"/>
    <n v="147"/>
    <n v="24"/>
    <n v="0"/>
    <n v="1"/>
    <n v="0"/>
    <n v="3"/>
    <n v="1"/>
    <n v="0"/>
    <n v="1"/>
    <n v="0"/>
    <n v="5"/>
  </r>
  <r>
    <s v="Menomonee Valley"/>
    <d v="2019-07-02T00:00:00"/>
    <x v="7"/>
    <n v="97"/>
    <n v="13"/>
    <n v="0"/>
    <n v="0"/>
    <n v="0"/>
    <n v="2"/>
    <n v="0"/>
    <n v="0"/>
    <n v="0"/>
    <n v="0"/>
    <n v="2"/>
  </r>
  <r>
    <s v="Menomonee Valley"/>
    <d v="2019-07-09T00:00:00"/>
    <x v="7"/>
    <n v="106"/>
    <n v="29"/>
    <n v="0"/>
    <n v="0"/>
    <n v="1"/>
    <n v="0"/>
    <n v="0"/>
    <n v="0"/>
    <n v="0"/>
    <n v="0"/>
    <n v="1"/>
  </r>
  <r>
    <s v="Menomonee Valley"/>
    <d v="2019-07-16T00:00:00"/>
    <x v="7"/>
    <n v="103"/>
    <n v="28"/>
    <n v="0"/>
    <n v="9"/>
    <n v="4"/>
    <n v="0"/>
    <n v="2"/>
    <n v="0"/>
    <n v="0"/>
    <n v="0"/>
    <n v="15"/>
  </r>
  <r>
    <s v="Menomonee Valley"/>
    <d v="2019-07-23T00:00:00"/>
    <x v="7"/>
    <n v="104"/>
    <n v="65"/>
    <n v="1"/>
    <n v="3"/>
    <n v="3"/>
    <n v="0"/>
    <n v="0"/>
    <n v="0"/>
    <n v="2"/>
    <n v="0"/>
    <n v="7"/>
  </r>
  <r>
    <s v="Menomonee Valley"/>
    <d v="2019-07-30T00:00:00"/>
    <x v="7"/>
    <n v="118"/>
    <n v="50"/>
    <n v="2"/>
    <n v="0"/>
    <n v="0"/>
    <n v="0"/>
    <n v="0"/>
    <n v="0"/>
    <n v="0"/>
    <n v="0"/>
    <n v="2"/>
  </r>
  <r>
    <s v="Menomonee Valley"/>
    <d v="2019-08-06T00:00:00"/>
    <x v="7"/>
    <n v="106"/>
    <n v="27"/>
    <n v="8"/>
    <n v="0"/>
    <n v="0"/>
    <n v="0"/>
    <n v="0"/>
    <n v="0"/>
    <n v="1"/>
    <n v="0"/>
    <n v="8"/>
  </r>
  <r>
    <s v="Menomonee Valley"/>
    <d v="2019-08-13T00:00:00"/>
    <x v="7"/>
    <n v="104"/>
    <n v="15"/>
    <n v="5"/>
    <n v="0"/>
    <n v="0"/>
    <n v="0"/>
    <n v="0"/>
    <n v="0"/>
    <n v="0"/>
    <n v="0"/>
    <n v="5"/>
  </r>
  <r>
    <s v="Menomonee Valley"/>
    <d v="2019-08-20T00:00:00"/>
    <x v="7"/>
    <n v="107"/>
    <n v="9"/>
    <n v="1"/>
    <n v="1"/>
    <n v="0"/>
    <n v="0"/>
    <n v="0"/>
    <n v="0"/>
    <n v="0"/>
    <n v="1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s v="Menomonee Valley"/>
    <d v="2012-06-27T00:00:00"/>
    <x v="0"/>
    <n v="57"/>
    <n v="2"/>
    <n v="0"/>
    <n v="0"/>
    <n v="0"/>
    <n v="0"/>
    <n v="0"/>
    <n v="0"/>
    <m/>
    <m/>
  </r>
  <r>
    <s v="Menomonee Valley"/>
    <d v="2012-07-04T00:00:00"/>
    <x v="0"/>
    <n v="133"/>
    <n v="4"/>
    <n v="0"/>
    <n v="0"/>
    <n v="0"/>
    <n v="0"/>
    <n v="0"/>
    <n v="0"/>
    <m/>
    <m/>
  </r>
  <r>
    <s v="Menomonee Valley"/>
    <d v="2012-07-11T00:00:00"/>
    <x v="0"/>
    <n v="103"/>
    <n v="3"/>
    <n v="0"/>
    <n v="0"/>
    <n v="0"/>
    <n v="0"/>
    <n v="0"/>
    <n v="0"/>
    <m/>
    <m/>
  </r>
  <r>
    <s v="Menomonee Valley"/>
    <d v="2012-07-18T00:00:00"/>
    <x v="0"/>
    <n v="104"/>
    <n v="6"/>
    <n v="0"/>
    <n v="0"/>
    <n v="0"/>
    <n v="0"/>
    <n v="0"/>
    <n v="0"/>
    <m/>
    <m/>
  </r>
  <r>
    <s v="Menomonee Valley"/>
    <d v="2012-07-25T00:00:00"/>
    <x v="0"/>
    <n v="111"/>
    <n v="3"/>
    <n v="0"/>
    <n v="0"/>
    <n v="0"/>
    <n v="0"/>
    <n v="0"/>
    <n v="0"/>
    <m/>
    <m/>
  </r>
  <r>
    <s v="Menomonee Valley"/>
    <d v="2012-08-01T00:00:00"/>
    <x v="0"/>
    <n v="117"/>
    <n v="7"/>
    <n v="1"/>
    <n v="0"/>
    <n v="0"/>
    <n v="0"/>
    <n v="0"/>
    <n v="0"/>
    <m/>
    <m/>
  </r>
  <r>
    <s v="Menomonee Valley"/>
    <d v="2012-08-08T00:00:00"/>
    <x v="0"/>
    <n v="106"/>
    <n v="1"/>
    <n v="1"/>
    <n v="0"/>
    <n v="0"/>
    <n v="0"/>
    <n v="0"/>
    <n v="0"/>
    <m/>
    <m/>
  </r>
  <r>
    <s v="Menomonee Valley"/>
    <d v="2012-08-15T00:00:00"/>
    <x v="0"/>
    <n v="110"/>
    <n v="1"/>
    <n v="0"/>
    <n v="0"/>
    <n v="1"/>
    <n v="0"/>
    <n v="0"/>
    <n v="0"/>
    <m/>
    <m/>
  </r>
  <r>
    <s v="Menomonee Valley"/>
    <d v="2012-08-22T00:00:00"/>
    <x v="0"/>
    <n v="108"/>
    <n v="5"/>
    <n v="0"/>
    <n v="0"/>
    <n v="0"/>
    <n v="0"/>
    <n v="0"/>
    <n v="0"/>
    <m/>
    <m/>
  </r>
  <r>
    <s v="Menomonee Valley"/>
    <d v="2013-07-10T00:00:00"/>
    <x v="1"/>
    <n v="106"/>
    <n v="1"/>
    <n v="0"/>
    <n v="0"/>
    <n v="0"/>
    <n v="0"/>
    <n v="0"/>
    <n v="0"/>
    <m/>
    <m/>
  </r>
  <r>
    <s v="Menomonee Valley"/>
    <d v="2013-07-17T00:00:00"/>
    <x v="1"/>
    <n v="126"/>
    <n v="0"/>
    <n v="0"/>
    <n v="0"/>
    <n v="0"/>
    <n v="0"/>
    <n v="0"/>
    <n v="0"/>
    <m/>
    <m/>
  </r>
  <r>
    <s v="Menomonee Valley"/>
    <d v="2013-07-24T00:00:00"/>
    <x v="1"/>
    <n v="109"/>
    <n v="9"/>
    <n v="0"/>
    <n v="0"/>
    <n v="0"/>
    <n v="0"/>
    <n v="0"/>
    <n v="0"/>
    <m/>
    <m/>
  </r>
  <r>
    <s v="Menomonee Valley"/>
    <d v="2013-07-31T00:00:00"/>
    <x v="1"/>
    <n v="95"/>
    <n v="0"/>
    <n v="0"/>
    <n v="0"/>
    <n v="0"/>
    <n v="0"/>
    <n v="0"/>
    <n v="0"/>
    <m/>
    <m/>
  </r>
  <r>
    <s v="Menomonee Valley"/>
    <d v="2013-08-07T00:00:00"/>
    <x v="1"/>
    <n v="103"/>
    <n v="3"/>
    <n v="0"/>
    <n v="0"/>
    <n v="0"/>
    <n v="0"/>
    <n v="0"/>
    <n v="0"/>
    <m/>
    <m/>
  </r>
  <r>
    <s v="Menomonee Valley"/>
    <d v="2013-08-14T00:00:00"/>
    <x v="1"/>
    <n v="103"/>
    <n v="4"/>
    <n v="0"/>
    <n v="0"/>
    <n v="0"/>
    <n v="0"/>
    <n v="0"/>
    <n v="0"/>
    <m/>
    <m/>
  </r>
  <r>
    <s v="Menomonee Valley"/>
    <d v="2013-08-19T00:00:00"/>
    <x v="1"/>
    <n v="23"/>
    <n v="0"/>
    <n v="0"/>
    <n v="0"/>
    <n v="0"/>
    <n v="0"/>
    <n v="0"/>
    <n v="0"/>
    <m/>
    <m/>
  </r>
  <r>
    <s v="Menomonee Valley"/>
    <d v="2013-08-26T00:00:00"/>
    <x v="1"/>
    <n v="100"/>
    <n v="1"/>
    <n v="0"/>
    <n v="0"/>
    <n v="0"/>
    <n v="0"/>
    <n v="0"/>
    <n v="0"/>
    <m/>
    <m/>
  </r>
  <r>
    <s v="Menomonee Valley"/>
    <d v="2014-07-02T00:00:00"/>
    <x v="2"/>
    <n v="70"/>
    <n v="0"/>
    <n v="0"/>
    <n v="0"/>
    <n v="0"/>
    <n v="0"/>
    <n v="0"/>
    <n v="0"/>
    <m/>
    <m/>
  </r>
  <r>
    <s v="Menomonee Valley"/>
    <d v="2014-07-08T00:00:00"/>
    <x v="2"/>
    <n v="78"/>
    <n v="10"/>
    <n v="0"/>
    <n v="0"/>
    <n v="2"/>
    <n v="0"/>
    <n v="0"/>
    <n v="0"/>
    <m/>
    <m/>
  </r>
  <r>
    <s v="Menomonee Valley"/>
    <d v="2014-07-10T00:00:00"/>
    <x v="2"/>
    <n v="104"/>
    <n v="5"/>
    <n v="0"/>
    <n v="0"/>
    <n v="0"/>
    <n v="0"/>
    <n v="0"/>
    <n v="0"/>
    <m/>
    <m/>
  </r>
  <r>
    <s v="Menomonee Valley"/>
    <d v="2014-07-23T00:00:00"/>
    <x v="2"/>
    <n v="100"/>
    <n v="0"/>
    <n v="0"/>
    <n v="0"/>
    <n v="1"/>
    <n v="0"/>
    <n v="0"/>
    <n v="0"/>
    <m/>
    <m/>
  </r>
  <r>
    <s v="Menomonee Valley"/>
    <d v="2014-07-30T00:00:00"/>
    <x v="2"/>
    <n v="104"/>
    <n v="1"/>
    <n v="0"/>
    <n v="0"/>
    <n v="0"/>
    <n v="0"/>
    <n v="0"/>
    <n v="0"/>
    <m/>
    <m/>
  </r>
  <r>
    <s v="Menomonee Valley"/>
    <d v="2014-08-04T00:00:00"/>
    <x v="2"/>
    <n v="100"/>
    <n v="2"/>
    <n v="0"/>
    <n v="0"/>
    <n v="0"/>
    <n v="0"/>
    <n v="0"/>
    <n v="0"/>
    <m/>
    <m/>
  </r>
  <r>
    <s v="Menomonee Valley"/>
    <d v="2014-08-13T00:00:00"/>
    <x v="2"/>
    <n v="100"/>
    <n v="0"/>
    <n v="0"/>
    <n v="0"/>
    <n v="0"/>
    <n v="0"/>
    <n v="0"/>
    <n v="0"/>
    <m/>
    <m/>
  </r>
  <r>
    <s v="Menomonee Valley"/>
    <d v="2014-09-05T00:00:00"/>
    <x v="2"/>
    <n v="103"/>
    <n v="0"/>
    <n v="0"/>
    <n v="0"/>
    <n v="0"/>
    <n v="0"/>
    <n v="0"/>
    <n v="0"/>
    <m/>
    <m/>
  </r>
  <r>
    <s v="Menomonee Valley"/>
    <d v="2015-06-23T00:00:00"/>
    <x v="3"/>
    <n v="107"/>
    <n v="0"/>
    <n v="0"/>
    <n v="2"/>
    <n v="0"/>
    <n v="0"/>
    <n v="0"/>
    <n v="0"/>
    <m/>
    <m/>
  </r>
  <r>
    <s v="Menomonee Valley"/>
    <d v="2015-06-30T00:00:00"/>
    <x v="3"/>
    <n v="103"/>
    <n v="0"/>
    <n v="0"/>
    <n v="0"/>
    <n v="0"/>
    <n v="0"/>
    <n v="0"/>
    <n v="0"/>
    <m/>
    <m/>
  </r>
  <r>
    <s v="Menomonee Valley"/>
    <d v="2015-07-07T00:00:00"/>
    <x v="3"/>
    <n v="116"/>
    <n v="7"/>
    <n v="0"/>
    <n v="0"/>
    <n v="0"/>
    <n v="0"/>
    <n v="0"/>
    <n v="0"/>
    <m/>
    <m/>
  </r>
  <r>
    <s v="Menomonee Valley"/>
    <d v="2015-07-14T00:00:00"/>
    <x v="3"/>
    <n v="102"/>
    <n v="14"/>
    <n v="0"/>
    <n v="1"/>
    <n v="0"/>
    <n v="0"/>
    <n v="0"/>
    <n v="0"/>
    <m/>
    <m/>
  </r>
  <r>
    <s v="Menomonee Valley"/>
    <d v="2015-07-21T00:00:00"/>
    <x v="3"/>
    <n v="100"/>
    <n v="22"/>
    <n v="0"/>
    <n v="0"/>
    <n v="0"/>
    <n v="0"/>
    <n v="0"/>
    <n v="0"/>
    <m/>
    <m/>
  </r>
  <r>
    <s v="Menomonee Valley"/>
    <d v="2015-07-28T00:00:00"/>
    <x v="3"/>
    <n v="105"/>
    <n v="7"/>
    <n v="0"/>
    <n v="0"/>
    <n v="0"/>
    <n v="0"/>
    <n v="0"/>
    <n v="0"/>
    <m/>
    <m/>
  </r>
  <r>
    <s v="Menomonee Valley"/>
    <d v="2015-08-04T00:00:00"/>
    <x v="3"/>
    <n v="130"/>
    <n v="36"/>
    <n v="1"/>
    <n v="0"/>
    <n v="0"/>
    <n v="0"/>
    <n v="0"/>
    <n v="0"/>
    <m/>
    <m/>
  </r>
  <r>
    <s v="Menomonee Valley"/>
    <d v="2015-08-11T00:00:00"/>
    <x v="3"/>
    <n v="107"/>
    <n v="8"/>
    <n v="2"/>
    <n v="0"/>
    <n v="0"/>
    <n v="0"/>
    <n v="0"/>
    <n v="0"/>
    <m/>
    <m/>
  </r>
  <r>
    <s v="Menomonee Valley"/>
    <d v="2015-08-20T00:00:00"/>
    <x v="3"/>
    <n v="100"/>
    <n v="2"/>
    <n v="1"/>
    <n v="0"/>
    <n v="0"/>
    <n v="0"/>
    <n v="0"/>
    <n v="0"/>
    <m/>
    <m/>
  </r>
  <r>
    <s v="Menomonee Valley"/>
    <d v="2015-08-25T00:00:00"/>
    <x v="3"/>
    <n v="103"/>
    <n v="1"/>
    <n v="0"/>
    <n v="0"/>
    <n v="0"/>
    <n v="0"/>
    <n v="0"/>
    <n v="0"/>
    <m/>
    <m/>
  </r>
  <r>
    <s v="Menomonee Valley"/>
    <d v="2015-09-01T00:00:00"/>
    <x v="3"/>
    <n v="100"/>
    <n v="2"/>
    <n v="0"/>
    <n v="0"/>
    <n v="0"/>
    <n v="0"/>
    <n v="0"/>
    <n v="0"/>
    <m/>
    <m/>
  </r>
  <r>
    <s v="Menomonee Valley"/>
    <d v="2016-06-21T00:00:00"/>
    <x v="4"/>
    <n v="101"/>
    <n v="0"/>
    <n v="0"/>
    <n v="0"/>
    <n v="0"/>
    <n v="0"/>
    <n v="0"/>
    <n v="0"/>
    <m/>
    <m/>
  </r>
  <r>
    <s v="Menomonee Valley"/>
    <d v="2016-06-28T00:00:00"/>
    <x v="4"/>
    <n v="100"/>
    <n v="0"/>
    <n v="0"/>
    <n v="0"/>
    <n v="0"/>
    <n v="0"/>
    <n v="0"/>
    <n v="0"/>
    <m/>
    <m/>
  </r>
  <r>
    <s v="Menomonee Valley"/>
    <d v="2016-07-05T00:00:00"/>
    <x v="4"/>
    <n v="106"/>
    <n v="2"/>
    <n v="0"/>
    <n v="0"/>
    <n v="0"/>
    <n v="0"/>
    <n v="0"/>
    <n v="0"/>
    <m/>
    <m/>
  </r>
  <r>
    <s v="Menomonee Valley"/>
    <d v="2016-07-12T00:00:00"/>
    <x v="4"/>
    <n v="100"/>
    <n v="0"/>
    <n v="0"/>
    <n v="0"/>
    <n v="0"/>
    <n v="0"/>
    <n v="0"/>
    <n v="0"/>
    <m/>
    <m/>
  </r>
  <r>
    <s v="Menomonee Valley"/>
    <d v="2016-07-19T00:00:00"/>
    <x v="4"/>
    <n v="100"/>
    <n v="0"/>
    <n v="0"/>
    <n v="0"/>
    <n v="0"/>
    <n v="0"/>
    <n v="0"/>
    <n v="0"/>
    <m/>
    <m/>
  </r>
  <r>
    <s v="Menomonee Valley"/>
    <d v="2016-07-27T00:00:00"/>
    <x v="4"/>
    <n v="105"/>
    <n v="6"/>
    <n v="1"/>
    <n v="0"/>
    <n v="0"/>
    <n v="0"/>
    <n v="0"/>
    <n v="0"/>
    <m/>
    <m/>
  </r>
  <r>
    <s v="Menomonee Valley"/>
    <d v="2016-08-02T00:00:00"/>
    <x v="4"/>
    <n v="100"/>
    <n v="0"/>
    <n v="1"/>
    <n v="0"/>
    <n v="0"/>
    <n v="0"/>
    <n v="0"/>
    <n v="0"/>
    <m/>
    <m/>
  </r>
  <r>
    <s v="Menomonee Valley"/>
    <d v="2016-08-09T00:00:00"/>
    <x v="4"/>
    <n v="112"/>
    <n v="1"/>
    <n v="0"/>
    <n v="0"/>
    <n v="0"/>
    <n v="0"/>
    <n v="1"/>
    <n v="0"/>
    <m/>
    <m/>
  </r>
  <r>
    <s v="Menomonee Valley"/>
    <d v="2016-08-16T00:00:00"/>
    <x v="4"/>
    <n v="100"/>
    <n v="10"/>
    <n v="0"/>
    <n v="0"/>
    <n v="0"/>
    <n v="0"/>
    <n v="0"/>
    <n v="0"/>
    <m/>
    <m/>
  </r>
  <r>
    <s v="Menomonee Valley"/>
    <d v="2017-06-06T00:00:00"/>
    <x v="5"/>
    <n v="140"/>
    <n v="8"/>
    <n v="0"/>
    <n v="0"/>
    <n v="3"/>
    <n v="0"/>
    <n v="0"/>
    <n v="0"/>
    <m/>
    <m/>
  </r>
  <r>
    <s v="Menomonee Valley"/>
    <d v="2017-06-13T00:00:00"/>
    <x v="5"/>
    <n v="58"/>
    <n v="2"/>
    <n v="1"/>
    <n v="1"/>
    <n v="0"/>
    <n v="0"/>
    <n v="0"/>
    <n v="0"/>
    <m/>
    <m/>
  </r>
  <r>
    <s v="Menomonee Valley"/>
    <d v="2017-06-20T00:00:00"/>
    <x v="5"/>
    <n v="128"/>
    <n v="16"/>
    <n v="0"/>
    <n v="0"/>
    <n v="3"/>
    <n v="1"/>
    <n v="0"/>
    <n v="0"/>
    <m/>
    <m/>
  </r>
  <r>
    <s v="Menomonee Valley"/>
    <d v="2017-06-27T00:00:00"/>
    <x v="5"/>
    <n v="114"/>
    <n v="11"/>
    <n v="0"/>
    <n v="0"/>
    <n v="0"/>
    <n v="1"/>
    <n v="0"/>
    <n v="0"/>
    <m/>
    <m/>
  </r>
  <r>
    <s v="Menomonee Valley"/>
    <d v="2017-07-04T00:00:00"/>
    <x v="5"/>
    <n v="100"/>
    <n v="6"/>
    <n v="0"/>
    <n v="0"/>
    <n v="0"/>
    <n v="0"/>
    <n v="0"/>
    <n v="0"/>
    <m/>
    <m/>
  </r>
  <r>
    <s v="Menomonee Valley"/>
    <d v="2017-07-11T00:00:00"/>
    <x v="5"/>
    <n v="110"/>
    <n v="8"/>
    <n v="0"/>
    <n v="0"/>
    <n v="0"/>
    <n v="0"/>
    <n v="0"/>
    <n v="0"/>
    <m/>
    <m/>
  </r>
  <r>
    <s v="Menomonee Valley"/>
    <d v="2017-07-18T00:00:00"/>
    <x v="5"/>
    <n v="121"/>
    <n v="11"/>
    <n v="1"/>
    <n v="0"/>
    <n v="0"/>
    <n v="0"/>
    <n v="0"/>
    <n v="0"/>
    <m/>
    <m/>
  </r>
  <r>
    <s v="Menomonee Valley"/>
    <d v="2017-07-25T00:00:00"/>
    <x v="5"/>
    <n v="105"/>
    <n v="22"/>
    <n v="3"/>
    <n v="0"/>
    <n v="0"/>
    <n v="0"/>
    <n v="0"/>
    <n v="0"/>
    <m/>
    <m/>
  </r>
  <r>
    <s v="Menomonee Valley"/>
    <d v="2017-08-01T00:00:00"/>
    <x v="5"/>
    <n v="102"/>
    <n v="22"/>
    <n v="0"/>
    <n v="0"/>
    <n v="0"/>
    <n v="0"/>
    <n v="0"/>
    <n v="0"/>
    <m/>
    <m/>
  </r>
  <r>
    <s v="Menomonee Valley"/>
    <d v="2017-08-08T00:00:00"/>
    <x v="5"/>
    <n v="102"/>
    <n v="35"/>
    <n v="0"/>
    <n v="2"/>
    <n v="2"/>
    <n v="0"/>
    <n v="0"/>
    <n v="0"/>
    <m/>
    <m/>
  </r>
  <r>
    <s v="Menomonee Valley"/>
    <d v="2017-08-15T00:00:00"/>
    <x v="5"/>
    <n v="107"/>
    <n v="41"/>
    <n v="2"/>
    <n v="8"/>
    <n v="0"/>
    <n v="0"/>
    <n v="0"/>
    <n v="2"/>
    <m/>
    <m/>
  </r>
  <r>
    <s v="Menomonee Valley"/>
    <d v="2018-06-26T00:00:00"/>
    <x v="6"/>
    <n v="103"/>
    <n v="34"/>
    <n v="0"/>
    <n v="2"/>
    <n v="0"/>
    <n v="0"/>
    <n v="0"/>
    <n v="0"/>
    <n v="0"/>
    <n v="0"/>
  </r>
  <r>
    <s v="Menomonee Valley"/>
    <d v="2018-07-03T00:00:00"/>
    <x v="6"/>
    <n v="100"/>
    <n v="12"/>
    <n v="2"/>
    <n v="2"/>
    <n v="0"/>
    <n v="0"/>
    <n v="0"/>
    <n v="0"/>
    <n v="0"/>
    <n v="0"/>
  </r>
  <r>
    <s v="Menomonee Valley"/>
    <d v="2018-07-10T00:00:00"/>
    <x v="6"/>
    <n v="103"/>
    <n v="10"/>
    <n v="0"/>
    <n v="1"/>
    <n v="0"/>
    <n v="0"/>
    <n v="0"/>
    <n v="0"/>
    <n v="0"/>
    <n v="0"/>
  </r>
  <r>
    <s v="Menomonee Valley"/>
    <d v="2018-07-17T00:00:00"/>
    <x v="6"/>
    <n v="101"/>
    <n v="11"/>
    <n v="1"/>
    <n v="0"/>
    <n v="1"/>
    <n v="0"/>
    <n v="1"/>
    <n v="0"/>
    <n v="0"/>
    <n v="0"/>
  </r>
  <r>
    <s v="Menomonee Valley"/>
    <d v="2018-07-24T00:00:00"/>
    <x v="6"/>
    <n v="100"/>
    <n v="3"/>
    <n v="11"/>
    <n v="2"/>
    <n v="1"/>
    <n v="0"/>
    <n v="0"/>
    <n v="0"/>
    <n v="1"/>
    <n v="0"/>
  </r>
  <r>
    <s v="Menomonee Valley"/>
    <d v="2018-07-31T00:00:00"/>
    <x v="6"/>
    <n v="106"/>
    <n v="31"/>
    <n v="0"/>
    <n v="0"/>
    <n v="0"/>
    <n v="0"/>
    <n v="1"/>
    <n v="0"/>
    <n v="0"/>
    <n v="0"/>
  </r>
  <r>
    <s v="Menomonee Valley"/>
    <d v="2018-08-14T00:00:00"/>
    <x v="6"/>
    <n v="105"/>
    <n v="35"/>
    <n v="12"/>
    <n v="4"/>
    <n v="2"/>
    <n v="0"/>
    <n v="1"/>
    <n v="0"/>
    <n v="0"/>
    <n v="0"/>
  </r>
  <r>
    <s v="Menomonee Valley"/>
    <d v="2018-08-21T00:00:00"/>
    <x v="6"/>
    <n v="104"/>
    <n v="51"/>
    <n v="1"/>
    <n v="1"/>
    <n v="2"/>
    <n v="1"/>
    <n v="1"/>
    <n v="0"/>
    <n v="2"/>
    <n v="0"/>
  </r>
  <r>
    <s v="Menomonee Valley"/>
    <d v="2019-06-11T00:00:00"/>
    <x v="7"/>
    <n v="159"/>
    <n v="29"/>
    <n v="9"/>
    <n v="6"/>
    <n v="0"/>
    <n v="0"/>
    <n v="0"/>
    <n v="0"/>
    <n v="0"/>
    <n v="0"/>
  </r>
  <r>
    <s v="Menomonee Valley"/>
    <d v="2019-06-25T00:00:00"/>
    <x v="7"/>
    <n v="147"/>
    <n v="24"/>
    <n v="0"/>
    <n v="1"/>
    <n v="0"/>
    <n v="3"/>
    <n v="1"/>
    <n v="0"/>
    <n v="1"/>
    <n v="0"/>
  </r>
  <r>
    <s v="Menomonee Valley"/>
    <d v="2019-07-02T00:00:00"/>
    <x v="7"/>
    <n v="97"/>
    <n v="13"/>
    <n v="0"/>
    <n v="0"/>
    <n v="0"/>
    <n v="2"/>
    <n v="0"/>
    <n v="0"/>
    <n v="0"/>
    <n v="0"/>
  </r>
  <r>
    <s v="Menomonee Valley"/>
    <d v="2019-07-09T00:00:00"/>
    <x v="7"/>
    <n v="106"/>
    <n v="29"/>
    <n v="0"/>
    <n v="0"/>
    <n v="1"/>
    <n v="0"/>
    <n v="0"/>
    <n v="0"/>
    <n v="0"/>
    <n v="0"/>
  </r>
  <r>
    <s v="Menomonee Valley"/>
    <d v="2019-07-16T00:00:00"/>
    <x v="7"/>
    <n v="103"/>
    <n v="28"/>
    <n v="0"/>
    <n v="9"/>
    <n v="4"/>
    <n v="0"/>
    <n v="2"/>
    <n v="0"/>
    <n v="0"/>
    <n v="0"/>
  </r>
  <r>
    <s v="Menomonee Valley"/>
    <d v="2019-07-23T00:00:00"/>
    <x v="7"/>
    <n v="104"/>
    <n v="65"/>
    <n v="1"/>
    <n v="3"/>
    <n v="3"/>
    <n v="0"/>
    <n v="0"/>
    <n v="0"/>
    <n v="2"/>
    <n v="0"/>
  </r>
  <r>
    <s v="Menomonee Valley"/>
    <d v="2019-07-30T00:00:00"/>
    <x v="7"/>
    <n v="118"/>
    <n v="50"/>
    <n v="2"/>
    <n v="0"/>
    <n v="0"/>
    <n v="0"/>
    <n v="0"/>
    <n v="0"/>
    <n v="0"/>
    <n v="0"/>
  </r>
  <r>
    <s v="Menomonee Valley"/>
    <d v="2019-08-06T00:00:00"/>
    <x v="7"/>
    <n v="106"/>
    <n v="27"/>
    <n v="8"/>
    <n v="0"/>
    <n v="0"/>
    <n v="0"/>
    <n v="0"/>
    <n v="0"/>
    <n v="1"/>
    <n v="0"/>
  </r>
  <r>
    <s v="Menomonee Valley"/>
    <d v="2019-08-13T00:00:00"/>
    <x v="7"/>
    <n v="104"/>
    <n v="15"/>
    <n v="5"/>
    <n v="0"/>
    <n v="0"/>
    <n v="0"/>
    <n v="0"/>
    <n v="0"/>
    <n v="0"/>
    <n v="0"/>
  </r>
  <r>
    <s v="Menomonee Valley"/>
    <d v="2019-08-20T00:00:00"/>
    <x v="7"/>
    <n v="107"/>
    <n v="9"/>
    <n v="1"/>
    <n v="1"/>
    <n v="0"/>
    <n v="0"/>
    <n v="0"/>
    <n v="0"/>
    <n v="0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">
  <r>
    <x v="0"/>
    <d v="2019-08-22T00:00:00"/>
    <x v="0"/>
    <n v="106"/>
    <n v="6"/>
    <n v="0"/>
    <n v="0"/>
    <n v="0"/>
    <n v="0"/>
    <n v="0"/>
    <n v="0"/>
  </r>
  <r>
    <x v="1"/>
    <d v="2019-08-21T00:00:00"/>
    <x v="0"/>
    <n v="96"/>
    <n v="2"/>
    <n v="2"/>
    <n v="2"/>
    <n v="0"/>
    <n v="0"/>
    <n v="0"/>
    <n v="0"/>
  </r>
  <r>
    <x v="2"/>
    <d v="2019-08-20T00:00:00"/>
    <x v="0"/>
    <n v="107"/>
    <n v="9"/>
    <n v="1"/>
    <n v="1"/>
    <n v="0"/>
    <n v="0"/>
    <n v="0"/>
    <n v="0"/>
  </r>
  <r>
    <x v="0"/>
    <d v="2019-08-15T00:00:00"/>
    <x v="0"/>
    <n v="110"/>
    <n v="18"/>
    <n v="4"/>
    <n v="1"/>
    <n v="1"/>
    <n v="0"/>
    <n v="0"/>
    <n v="0"/>
  </r>
  <r>
    <x v="1"/>
    <d v="2019-08-14T00:00:00"/>
    <x v="0"/>
    <n v="101"/>
    <n v="25"/>
    <n v="2"/>
    <n v="0"/>
    <n v="0"/>
    <n v="0"/>
    <n v="0"/>
    <n v="0"/>
  </r>
  <r>
    <x v="2"/>
    <d v="2019-08-13T00:00:00"/>
    <x v="0"/>
    <n v="104"/>
    <n v="15"/>
    <n v="5"/>
    <n v="0"/>
    <n v="0"/>
    <n v="0"/>
    <n v="0"/>
    <n v="0"/>
  </r>
  <r>
    <x v="0"/>
    <d v="2019-08-08T00:00:00"/>
    <x v="0"/>
    <n v="102"/>
    <n v="29"/>
    <n v="6"/>
    <n v="2"/>
    <n v="0"/>
    <n v="0"/>
    <n v="0"/>
    <n v="0"/>
  </r>
  <r>
    <x v="1"/>
    <d v="2019-08-07T00:00:00"/>
    <x v="0"/>
    <n v="115"/>
    <n v="84"/>
    <n v="7"/>
    <n v="0"/>
    <n v="1"/>
    <n v="0"/>
    <n v="0"/>
    <n v="0"/>
  </r>
  <r>
    <x v="2"/>
    <d v="2019-08-06T00:00:00"/>
    <x v="0"/>
    <n v="106"/>
    <n v="27"/>
    <n v="8"/>
    <n v="0"/>
    <n v="0"/>
    <n v="0"/>
    <n v="0"/>
    <n v="0"/>
  </r>
  <r>
    <x v="0"/>
    <d v="2019-08-01T00:00:00"/>
    <x v="0"/>
    <n v="109"/>
    <n v="28"/>
    <n v="1"/>
    <n v="1"/>
    <n v="0"/>
    <n v="0"/>
    <n v="0"/>
    <n v="0"/>
  </r>
  <r>
    <x v="1"/>
    <d v="2019-07-31T00:00:00"/>
    <x v="0"/>
    <n v="100"/>
    <n v="14"/>
    <n v="17"/>
    <n v="6"/>
    <n v="0"/>
    <n v="1"/>
    <n v="0"/>
    <n v="0"/>
  </r>
  <r>
    <x v="2"/>
    <d v="2019-07-30T00:00:00"/>
    <x v="0"/>
    <n v="118"/>
    <n v="50"/>
    <n v="2"/>
    <n v="0"/>
    <n v="0"/>
    <n v="0"/>
    <n v="0"/>
    <n v="0"/>
  </r>
  <r>
    <x v="0"/>
    <d v="2019-07-25T00:00:00"/>
    <x v="0"/>
    <n v="106"/>
    <n v="38"/>
    <n v="0"/>
    <n v="2"/>
    <n v="0"/>
    <n v="0"/>
    <n v="0"/>
    <n v="0"/>
  </r>
  <r>
    <x v="1"/>
    <d v="2019-07-24T00:00:00"/>
    <x v="0"/>
    <n v="110"/>
    <n v="71"/>
    <n v="1"/>
    <n v="3"/>
    <n v="2"/>
    <n v="1"/>
    <n v="0"/>
    <n v="0"/>
  </r>
  <r>
    <x v="2"/>
    <d v="2019-07-23T00:00:00"/>
    <x v="0"/>
    <n v="104"/>
    <n v="65"/>
    <n v="1"/>
    <n v="3"/>
    <n v="3"/>
    <n v="0"/>
    <n v="0"/>
    <n v="0"/>
  </r>
  <r>
    <x v="1"/>
    <d v="2019-07-17T00:00:00"/>
    <x v="0"/>
    <n v="99"/>
    <n v="54"/>
    <n v="1"/>
    <n v="4"/>
    <n v="1"/>
    <n v="0"/>
    <n v="0"/>
    <n v="0"/>
  </r>
  <r>
    <x v="2"/>
    <d v="2019-07-16T00:00:00"/>
    <x v="0"/>
    <n v="103"/>
    <n v="28"/>
    <n v="0"/>
    <n v="9"/>
    <n v="4"/>
    <n v="0"/>
    <n v="2"/>
    <n v="0"/>
  </r>
  <r>
    <x v="0"/>
    <d v="2019-07-11T00:00:00"/>
    <x v="0"/>
    <n v="101"/>
    <n v="22"/>
    <n v="0"/>
    <n v="0"/>
    <n v="0"/>
    <n v="0"/>
    <n v="0"/>
    <n v="0"/>
  </r>
  <r>
    <x v="1"/>
    <d v="2019-07-10T00:00:00"/>
    <x v="0"/>
    <n v="100"/>
    <n v="39"/>
    <n v="0"/>
    <n v="4"/>
    <n v="0"/>
    <n v="0"/>
    <n v="0"/>
    <n v="0"/>
  </r>
  <r>
    <x v="2"/>
    <d v="2019-07-09T00:00:00"/>
    <x v="0"/>
    <n v="106"/>
    <n v="29"/>
    <n v="0"/>
    <n v="0"/>
    <n v="1"/>
    <n v="0"/>
    <n v="0"/>
    <n v="0"/>
  </r>
  <r>
    <x v="0"/>
    <d v="2019-07-04T00:00:00"/>
    <x v="0"/>
    <n v="101"/>
    <n v="35"/>
    <n v="1"/>
    <n v="0"/>
    <n v="0"/>
    <n v="0"/>
    <n v="0"/>
    <n v="0"/>
  </r>
  <r>
    <x v="1"/>
    <d v="2019-07-03T00:00:00"/>
    <x v="0"/>
    <n v="91"/>
    <n v="34"/>
    <n v="0"/>
    <n v="0"/>
    <n v="0"/>
    <n v="0"/>
    <n v="0"/>
    <n v="0"/>
  </r>
  <r>
    <x v="2"/>
    <d v="2019-07-02T00:00:00"/>
    <x v="0"/>
    <n v="97"/>
    <n v="13"/>
    <n v="0"/>
    <n v="0"/>
    <n v="0"/>
    <n v="2"/>
    <n v="0"/>
    <n v="0"/>
  </r>
  <r>
    <x v="2"/>
    <d v="2019-06-25T00:00:00"/>
    <x v="0"/>
    <n v="147"/>
    <n v="24"/>
    <n v="0"/>
    <n v="1"/>
    <n v="0"/>
    <n v="3"/>
    <n v="1"/>
    <n v="0"/>
  </r>
  <r>
    <x v="0"/>
    <d v="2019-06-13T00:00:00"/>
    <x v="0"/>
    <n v="108"/>
    <n v="47"/>
    <n v="29"/>
    <n v="16"/>
    <n v="1"/>
    <n v="0"/>
    <n v="0"/>
    <n v="0"/>
  </r>
  <r>
    <x v="1"/>
    <d v="2019-06-12T00:00:00"/>
    <x v="0"/>
    <n v="100"/>
    <n v="30"/>
    <n v="16"/>
    <n v="7"/>
    <n v="4"/>
    <n v="0"/>
    <n v="0"/>
    <n v="0"/>
  </r>
  <r>
    <x v="2"/>
    <d v="2019-06-11T00:00:00"/>
    <x v="0"/>
    <n v="159"/>
    <n v="29"/>
    <n v="9"/>
    <n v="6"/>
    <n v="0"/>
    <n v="0"/>
    <n v="0"/>
    <n v="0"/>
  </r>
  <r>
    <x v="1"/>
    <d v="2019-06-05T00:00:00"/>
    <x v="0"/>
    <n v="104"/>
    <n v="106"/>
    <n v="8"/>
    <n v="1"/>
    <n v="0"/>
    <n v="0"/>
    <n v="0"/>
    <n v="0"/>
  </r>
  <r>
    <x v="0"/>
    <d v="2018-08-23T00:00:00"/>
    <x v="1"/>
    <n v="114"/>
    <n v="32"/>
    <n v="1"/>
    <n v="2"/>
    <n v="0"/>
    <n v="0"/>
    <n v="0"/>
    <n v="0"/>
  </r>
  <r>
    <x v="2"/>
    <d v="2018-08-21T00:00:00"/>
    <x v="1"/>
    <n v="104"/>
    <n v="51"/>
    <n v="1"/>
    <n v="1"/>
    <n v="2"/>
    <n v="1"/>
    <n v="1"/>
    <n v="0"/>
  </r>
  <r>
    <x v="1"/>
    <d v="2018-08-20T00:00:00"/>
    <x v="1"/>
    <n v="113"/>
    <n v="15"/>
    <n v="2"/>
    <n v="0"/>
    <n v="1"/>
    <n v="0"/>
    <n v="1"/>
    <n v="0"/>
  </r>
  <r>
    <x v="0"/>
    <d v="2018-08-16T00:00:00"/>
    <x v="1"/>
    <n v="108"/>
    <n v="29"/>
    <n v="6"/>
    <n v="2"/>
    <n v="0"/>
    <n v="0"/>
    <n v="1"/>
    <n v="0"/>
  </r>
  <r>
    <x v="2"/>
    <d v="2018-08-14T00:00:00"/>
    <x v="1"/>
    <n v="105"/>
    <n v="35"/>
    <n v="12"/>
    <n v="4"/>
    <n v="2"/>
    <n v="0"/>
    <n v="1"/>
    <n v="0"/>
  </r>
  <r>
    <x v="1"/>
    <d v="2018-08-13T00:00:00"/>
    <x v="1"/>
    <n v="105"/>
    <n v="33"/>
    <n v="3"/>
    <n v="1"/>
    <n v="0"/>
    <n v="0"/>
    <n v="0"/>
    <n v="1"/>
  </r>
  <r>
    <x v="0"/>
    <d v="2018-08-02T00:00:00"/>
    <x v="1"/>
    <n v="103"/>
    <n v="52"/>
    <n v="2"/>
    <n v="1"/>
    <n v="0"/>
    <n v="0"/>
    <n v="0"/>
    <n v="0"/>
  </r>
  <r>
    <x v="2"/>
    <d v="2018-07-31T00:00:00"/>
    <x v="1"/>
    <n v="106"/>
    <n v="31"/>
    <n v="0"/>
    <n v="0"/>
    <n v="0"/>
    <n v="0"/>
    <n v="1"/>
    <n v="0"/>
  </r>
  <r>
    <x v="1"/>
    <d v="2018-07-30T00:00:00"/>
    <x v="1"/>
    <n v="100"/>
    <n v="32"/>
    <n v="0"/>
    <n v="2"/>
    <n v="0"/>
    <n v="0"/>
    <n v="0"/>
    <n v="0"/>
  </r>
  <r>
    <x v="0"/>
    <d v="2018-07-25T00:00:00"/>
    <x v="1"/>
    <n v="116"/>
    <n v="17"/>
    <n v="1"/>
    <n v="0"/>
    <n v="1"/>
    <n v="1"/>
    <n v="0"/>
    <n v="0"/>
  </r>
  <r>
    <x v="2"/>
    <d v="2018-07-24T00:00:00"/>
    <x v="1"/>
    <n v="100"/>
    <n v="3"/>
    <n v="11"/>
    <n v="2"/>
    <n v="1"/>
    <n v="0"/>
    <n v="0"/>
    <n v="0"/>
  </r>
  <r>
    <x v="1"/>
    <d v="2018-07-23T00:00:00"/>
    <x v="1"/>
    <n v="100"/>
    <n v="6"/>
    <n v="3"/>
    <n v="0"/>
    <n v="1"/>
    <n v="1"/>
    <n v="0"/>
    <n v="0"/>
  </r>
  <r>
    <x v="0"/>
    <d v="2018-07-19T00:00:00"/>
    <x v="1"/>
    <n v="116"/>
    <n v="46"/>
    <n v="3"/>
    <n v="1"/>
    <n v="1"/>
    <n v="0"/>
    <n v="1"/>
    <n v="0"/>
  </r>
  <r>
    <x v="2"/>
    <d v="2018-07-17T00:00:00"/>
    <x v="1"/>
    <n v="101"/>
    <n v="11"/>
    <n v="1"/>
    <n v="0"/>
    <n v="1"/>
    <n v="0"/>
    <n v="1"/>
    <n v="0"/>
  </r>
  <r>
    <x v="1"/>
    <d v="2018-07-16T00:00:00"/>
    <x v="1"/>
    <n v="132"/>
    <n v="61"/>
    <n v="3"/>
    <n v="4"/>
    <n v="5"/>
    <n v="4"/>
    <n v="0"/>
    <n v="0"/>
  </r>
  <r>
    <x v="0"/>
    <d v="2018-07-12T00:00:00"/>
    <x v="1"/>
    <n v="110"/>
    <n v="31"/>
    <n v="2"/>
    <n v="3"/>
    <n v="1"/>
    <n v="0"/>
    <n v="0"/>
    <n v="0"/>
  </r>
  <r>
    <x v="2"/>
    <d v="2018-07-10T00:00:00"/>
    <x v="1"/>
    <n v="103"/>
    <n v="10"/>
    <n v="0"/>
    <n v="1"/>
    <n v="0"/>
    <n v="0"/>
    <n v="0"/>
    <n v="0"/>
  </r>
  <r>
    <x v="1"/>
    <d v="2018-07-09T00:00:00"/>
    <x v="1"/>
    <n v="100"/>
    <n v="25"/>
    <n v="0"/>
    <n v="2"/>
    <n v="2"/>
    <n v="0"/>
    <n v="0"/>
    <n v="0"/>
  </r>
  <r>
    <x v="0"/>
    <d v="2018-07-05T00:00:00"/>
    <x v="1"/>
    <n v="109"/>
    <n v="53"/>
    <n v="0"/>
    <n v="2"/>
    <n v="1"/>
    <n v="0"/>
    <n v="0"/>
    <n v="0"/>
  </r>
  <r>
    <x v="2"/>
    <d v="2018-07-03T00:00:00"/>
    <x v="1"/>
    <n v="100"/>
    <n v="12"/>
    <n v="2"/>
    <n v="2"/>
    <n v="0"/>
    <n v="0"/>
    <n v="0"/>
    <n v="0"/>
  </r>
  <r>
    <x v="1"/>
    <d v="2018-07-02T00:00:00"/>
    <x v="1"/>
    <n v="100"/>
    <n v="14"/>
    <n v="1"/>
    <n v="5"/>
    <n v="2"/>
    <n v="0"/>
    <n v="0"/>
    <n v="0"/>
  </r>
  <r>
    <x v="0"/>
    <d v="2018-06-28T00:00:00"/>
    <x v="1"/>
    <n v="101"/>
    <n v="134"/>
    <n v="9"/>
    <n v="1"/>
    <n v="0"/>
    <n v="0"/>
    <n v="0"/>
    <n v="0"/>
  </r>
  <r>
    <x v="2"/>
    <d v="2018-06-26T00:00:00"/>
    <x v="1"/>
    <n v="103"/>
    <n v="34"/>
    <n v="0"/>
    <n v="2"/>
    <n v="0"/>
    <n v="0"/>
    <n v="0"/>
    <n v="0"/>
  </r>
  <r>
    <x v="1"/>
    <d v="2018-06-25T00:00:00"/>
    <x v="1"/>
    <n v="102"/>
    <n v="59"/>
    <n v="1"/>
    <n v="1"/>
    <n v="0"/>
    <n v="0"/>
    <n v="0"/>
    <n v="0"/>
  </r>
  <r>
    <x v="0"/>
    <d v="2018-06-21T00:00:00"/>
    <x v="1"/>
    <n v="128"/>
    <n v="19"/>
    <n v="1"/>
    <n v="3"/>
    <n v="0"/>
    <n v="1"/>
    <n v="0"/>
    <n v="0"/>
  </r>
  <r>
    <x v="1"/>
    <d v="2018-06-18T00:00:00"/>
    <x v="1"/>
    <n v="106"/>
    <n v="26"/>
    <n v="3"/>
    <n v="0"/>
    <n v="0"/>
    <n v="0"/>
    <n v="1"/>
    <n v="0"/>
  </r>
  <r>
    <x v="1"/>
    <d v="2017-08-26T00:00:00"/>
    <x v="2"/>
    <n v="100"/>
    <n v="0"/>
    <n v="0"/>
    <n v="0"/>
    <n v="0"/>
    <n v="0"/>
    <n v="0"/>
    <n v="0"/>
  </r>
  <r>
    <x v="0"/>
    <d v="2017-08-25T00:00:00"/>
    <x v="2"/>
    <n v="101"/>
    <n v="3"/>
    <n v="0"/>
    <n v="0"/>
    <n v="0"/>
    <n v="0"/>
    <n v="0"/>
    <n v="0"/>
  </r>
  <r>
    <x v="0"/>
    <d v="2017-08-17T00:00:00"/>
    <x v="2"/>
    <n v="109"/>
    <n v="30"/>
    <n v="1"/>
    <n v="5"/>
    <n v="4"/>
    <n v="0"/>
    <n v="1"/>
    <n v="11"/>
  </r>
  <r>
    <x v="2"/>
    <d v="2017-08-15T00:00:00"/>
    <x v="2"/>
    <n v="107"/>
    <n v="41"/>
    <n v="2"/>
    <n v="8"/>
    <n v="0"/>
    <n v="0"/>
    <n v="0"/>
    <n v="2"/>
  </r>
  <r>
    <x v="1"/>
    <d v="2017-08-14T00:00:00"/>
    <x v="2"/>
    <n v="101"/>
    <n v="30"/>
    <n v="3"/>
    <n v="4"/>
    <n v="2"/>
    <n v="0"/>
    <n v="0"/>
    <n v="0"/>
  </r>
  <r>
    <x v="0"/>
    <d v="2017-08-10T00:00:00"/>
    <x v="2"/>
    <n v="105"/>
    <n v="15"/>
    <n v="1"/>
    <n v="3"/>
    <n v="1"/>
    <n v="0"/>
    <n v="0"/>
    <n v="0"/>
  </r>
  <r>
    <x v="2"/>
    <d v="2017-08-08T00:00:00"/>
    <x v="2"/>
    <n v="102"/>
    <n v="35"/>
    <n v="0"/>
    <n v="2"/>
    <n v="2"/>
    <n v="0"/>
    <n v="0"/>
    <n v="0"/>
  </r>
  <r>
    <x v="0"/>
    <d v="2017-08-03T00:00:00"/>
    <x v="2"/>
    <n v="127"/>
    <n v="18"/>
    <n v="0"/>
    <n v="0"/>
    <n v="0"/>
    <n v="0"/>
    <n v="0"/>
    <n v="0"/>
  </r>
  <r>
    <x v="2"/>
    <d v="2017-08-01T00:00:00"/>
    <x v="2"/>
    <n v="102"/>
    <n v="22"/>
    <n v="0"/>
    <n v="0"/>
    <n v="0"/>
    <n v="0"/>
    <n v="0"/>
    <n v="0"/>
  </r>
  <r>
    <x v="1"/>
    <d v="2017-07-31T00:00:00"/>
    <x v="2"/>
    <n v="111"/>
    <n v="51"/>
    <n v="1"/>
    <n v="2"/>
    <n v="0"/>
    <n v="0"/>
    <n v="0"/>
    <n v="0"/>
  </r>
  <r>
    <x v="0"/>
    <d v="2017-07-27T00:00:00"/>
    <x v="2"/>
    <n v="181"/>
    <n v="27"/>
    <n v="0"/>
    <n v="0"/>
    <n v="0"/>
    <n v="0"/>
    <n v="0"/>
    <n v="0"/>
  </r>
  <r>
    <x v="2"/>
    <d v="2017-07-25T00:00:00"/>
    <x v="2"/>
    <n v="105"/>
    <n v="22"/>
    <n v="3"/>
    <n v="0"/>
    <n v="0"/>
    <n v="0"/>
    <n v="0"/>
    <n v="0"/>
  </r>
  <r>
    <x v="1"/>
    <d v="2017-07-24T00:00:00"/>
    <x v="2"/>
    <n v="105"/>
    <n v="29"/>
    <n v="12"/>
    <n v="0"/>
    <n v="1"/>
    <n v="0"/>
    <n v="0"/>
    <n v="0"/>
  </r>
  <r>
    <x v="0"/>
    <d v="2017-07-20T00:00:00"/>
    <x v="2"/>
    <n v="132"/>
    <n v="31"/>
    <n v="2"/>
    <n v="2"/>
    <n v="0"/>
    <n v="0"/>
    <n v="0"/>
    <n v="0"/>
  </r>
  <r>
    <x v="2"/>
    <d v="2017-07-18T00:00:00"/>
    <x v="2"/>
    <n v="121"/>
    <n v="11"/>
    <n v="1"/>
    <n v="0"/>
    <n v="0"/>
    <n v="0"/>
    <n v="0"/>
    <n v="0"/>
  </r>
  <r>
    <x v="1"/>
    <d v="2017-07-17T00:00:00"/>
    <x v="2"/>
    <n v="110"/>
    <n v="19"/>
    <n v="2"/>
    <n v="2"/>
    <n v="1"/>
    <n v="0"/>
    <n v="0"/>
    <n v="0"/>
  </r>
  <r>
    <x v="0"/>
    <d v="2017-07-13T00:00:00"/>
    <x v="2"/>
    <n v="113"/>
    <n v="19"/>
    <n v="10"/>
    <n v="0"/>
    <n v="0"/>
    <n v="0"/>
    <n v="0"/>
    <n v="0"/>
  </r>
  <r>
    <x v="2"/>
    <d v="2017-07-11T00:00:00"/>
    <x v="2"/>
    <n v="110"/>
    <n v="8"/>
    <n v="0"/>
    <n v="0"/>
    <n v="0"/>
    <n v="0"/>
    <n v="0"/>
    <n v="0"/>
  </r>
  <r>
    <x v="1"/>
    <d v="2017-07-10T00:00:00"/>
    <x v="2"/>
    <n v="100"/>
    <n v="11"/>
    <n v="3"/>
    <n v="0"/>
    <n v="1"/>
    <n v="0"/>
    <n v="2"/>
    <n v="0"/>
  </r>
  <r>
    <x v="0"/>
    <d v="2017-07-06T00:00:00"/>
    <x v="2"/>
    <n v="105"/>
    <n v="8"/>
    <n v="0"/>
    <n v="0"/>
    <n v="0"/>
    <n v="0"/>
    <n v="0"/>
    <n v="0"/>
  </r>
  <r>
    <x v="2"/>
    <d v="2017-07-04T00:00:00"/>
    <x v="2"/>
    <n v="100"/>
    <n v="6"/>
    <n v="0"/>
    <n v="0"/>
    <n v="0"/>
    <n v="0"/>
    <n v="0"/>
    <n v="0"/>
  </r>
  <r>
    <x v="1"/>
    <d v="2017-07-03T00:00:00"/>
    <x v="2"/>
    <n v="101"/>
    <n v="12"/>
    <n v="1"/>
    <n v="1"/>
    <n v="1"/>
    <n v="0"/>
    <n v="0"/>
    <n v="0"/>
  </r>
  <r>
    <x v="0"/>
    <d v="2017-06-29T00:00:00"/>
    <x v="2"/>
    <n v="112"/>
    <n v="3"/>
    <n v="0"/>
    <n v="0"/>
    <n v="0"/>
    <n v="0"/>
    <n v="0"/>
    <n v="0"/>
  </r>
  <r>
    <x v="2"/>
    <d v="2017-06-27T00:00:00"/>
    <x v="2"/>
    <n v="114"/>
    <n v="11"/>
    <n v="0"/>
    <n v="0"/>
    <n v="0"/>
    <n v="1"/>
    <n v="0"/>
    <n v="0"/>
  </r>
  <r>
    <x v="1"/>
    <d v="2017-06-26T00:00:00"/>
    <x v="2"/>
    <n v="112"/>
    <n v="18"/>
    <n v="0"/>
    <n v="0"/>
    <n v="0"/>
    <n v="0"/>
    <n v="0"/>
    <n v="0"/>
  </r>
  <r>
    <x v="0"/>
    <d v="2017-06-22T00:00:00"/>
    <x v="2"/>
    <n v="154"/>
    <n v="7"/>
    <n v="4"/>
    <n v="0"/>
    <n v="0"/>
    <n v="1"/>
    <n v="0"/>
    <n v="5"/>
  </r>
  <r>
    <x v="2"/>
    <d v="2017-06-20T00:00:00"/>
    <x v="2"/>
    <n v="128"/>
    <n v="16"/>
    <n v="0"/>
    <n v="0"/>
    <n v="3"/>
    <n v="1"/>
    <n v="0"/>
    <n v="0"/>
  </r>
  <r>
    <x v="1"/>
    <d v="2017-06-19T00:00:00"/>
    <x v="2"/>
    <n v="119"/>
    <n v="27"/>
    <n v="0"/>
    <n v="0"/>
    <n v="0"/>
    <n v="0"/>
    <n v="0"/>
    <n v="0"/>
  </r>
  <r>
    <x v="0"/>
    <d v="2017-06-15T00:00:00"/>
    <x v="2"/>
    <n v="157"/>
    <n v="11"/>
    <n v="6"/>
    <n v="2"/>
    <n v="0"/>
    <n v="0"/>
    <n v="0"/>
    <n v="0"/>
  </r>
  <r>
    <x v="2"/>
    <d v="2017-06-13T00:00:00"/>
    <x v="2"/>
    <n v="58"/>
    <n v="2"/>
    <n v="1"/>
    <n v="1"/>
    <n v="0"/>
    <n v="0"/>
    <n v="0"/>
    <n v="0"/>
  </r>
  <r>
    <x v="1"/>
    <d v="2017-06-13T00:00:00"/>
    <x v="2"/>
    <n v="105"/>
    <n v="7"/>
    <n v="1"/>
    <n v="3"/>
    <n v="0"/>
    <n v="0"/>
    <n v="0"/>
    <n v="0"/>
  </r>
  <r>
    <x v="0"/>
    <d v="2017-06-08T00:00:00"/>
    <x v="2"/>
    <n v="146"/>
    <n v="32"/>
    <n v="1"/>
    <n v="0"/>
    <n v="0"/>
    <n v="0"/>
    <n v="0"/>
    <n v="0"/>
  </r>
  <r>
    <x v="2"/>
    <d v="2017-06-06T00:00:00"/>
    <x v="2"/>
    <n v="140"/>
    <n v="8"/>
    <n v="0"/>
    <n v="0"/>
    <n v="3"/>
    <n v="0"/>
    <n v="0"/>
    <n v="0"/>
  </r>
  <r>
    <x v="1"/>
    <d v="2017-06-05T00:00:00"/>
    <x v="2"/>
    <n v="151"/>
    <n v="40"/>
    <n v="1"/>
    <n v="1"/>
    <n v="0"/>
    <n v="0"/>
    <n v="0"/>
    <n v="0"/>
  </r>
  <r>
    <x v="2"/>
    <d v="2016-08-16T00:00:00"/>
    <x v="3"/>
    <n v="100"/>
    <n v="10"/>
    <n v="0"/>
    <n v="0"/>
    <n v="0"/>
    <n v="0"/>
    <n v="0"/>
    <n v="0"/>
  </r>
  <r>
    <x v="0"/>
    <d v="2016-08-16T00:00:00"/>
    <x v="3"/>
    <n v="98"/>
    <n v="16"/>
    <n v="0"/>
    <n v="0"/>
    <n v="0"/>
    <n v="0"/>
    <n v="0"/>
    <n v="0"/>
  </r>
  <r>
    <x v="2"/>
    <d v="2016-08-09T00:00:00"/>
    <x v="3"/>
    <n v="112"/>
    <n v="1"/>
    <n v="0"/>
    <n v="0"/>
    <n v="0"/>
    <n v="0"/>
    <n v="1"/>
    <n v="0"/>
  </r>
  <r>
    <x v="0"/>
    <d v="2016-08-08T00:00:00"/>
    <x v="3"/>
    <n v="136"/>
    <n v="6"/>
    <n v="1"/>
    <n v="0"/>
    <n v="0"/>
    <n v="0"/>
    <n v="0"/>
    <n v="0"/>
  </r>
  <r>
    <x v="1"/>
    <d v="2016-08-04T00:00:00"/>
    <x v="3"/>
    <n v="100"/>
    <n v="8"/>
    <n v="0"/>
    <n v="0"/>
    <n v="0"/>
    <n v="0"/>
    <n v="0"/>
    <n v="0"/>
  </r>
  <r>
    <x v="2"/>
    <d v="2016-08-02T00:00:00"/>
    <x v="3"/>
    <n v="100"/>
    <n v="0"/>
    <n v="1"/>
    <n v="0"/>
    <n v="0"/>
    <n v="0"/>
    <n v="0"/>
    <n v="0"/>
  </r>
  <r>
    <x v="1"/>
    <d v="2016-07-28T00:00:00"/>
    <x v="3"/>
    <n v="100"/>
    <n v="3"/>
    <n v="0"/>
    <n v="0"/>
    <n v="0"/>
    <n v="0"/>
    <n v="0"/>
    <n v="0"/>
  </r>
  <r>
    <x v="2"/>
    <d v="2016-07-27T00:00:00"/>
    <x v="3"/>
    <n v="105"/>
    <n v="6"/>
    <n v="1"/>
    <n v="0"/>
    <n v="0"/>
    <n v="0"/>
    <n v="0"/>
    <n v="0"/>
  </r>
  <r>
    <x v="0"/>
    <d v="2016-07-26T00:00:00"/>
    <x v="3"/>
    <n v="123"/>
    <n v="11"/>
    <n v="0"/>
    <n v="0"/>
    <n v="0"/>
    <n v="0"/>
    <n v="0"/>
    <n v="0"/>
  </r>
  <r>
    <x v="2"/>
    <d v="2016-07-19T00:00:00"/>
    <x v="3"/>
    <n v="100"/>
    <n v="0"/>
    <n v="0"/>
    <n v="0"/>
    <n v="0"/>
    <n v="0"/>
    <n v="0"/>
    <n v="0"/>
  </r>
  <r>
    <x v="0"/>
    <d v="2016-07-19T00:00:00"/>
    <x v="3"/>
    <n v="107"/>
    <n v="4"/>
    <n v="0"/>
    <n v="0"/>
    <n v="0"/>
    <n v="0"/>
    <n v="0"/>
    <n v="0"/>
  </r>
  <r>
    <x v="2"/>
    <d v="2016-07-12T00:00:00"/>
    <x v="3"/>
    <n v="100"/>
    <n v="0"/>
    <n v="0"/>
    <n v="0"/>
    <n v="0"/>
    <n v="0"/>
    <n v="0"/>
    <n v="0"/>
  </r>
  <r>
    <x v="0"/>
    <d v="2016-07-12T00:00:00"/>
    <x v="3"/>
    <n v="129"/>
    <n v="5"/>
    <n v="0"/>
    <n v="0"/>
    <n v="0"/>
    <n v="0"/>
    <n v="0"/>
    <n v="0"/>
  </r>
  <r>
    <x v="0"/>
    <d v="2016-07-07T00:00:00"/>
    <x v="3"/>
    <n v="106"/>
    <n v="7"/>
    <n v="0"/>
    <n v="0"/>
    <n v="0"/>
    <n v="0"/>
    <n v="0"/>
    <n v="0"/>
  </r>
  <r>
    <x v="1"/>
    <d v="2016-07-07T00:00:00"/>
    <x v="3"/>
    <n v="100"/>
    <n v="0"/>
    <n v="0"/>
    <n v="0"/>
    <n v="0"/>
    <n v="0"/>
    <n v="0"/>
    <n v="0"/>
  </r>
  <r>
    <x v="2"/>
    <d v="2016-07-05T00:00:00"/>
    <x v="3"/>
    <n v="106"/>
    <n v="2"/>
    <n v="0"/>
    <n v="0"/>
    <n v="0"/>
    <n v="0"/>
    <n v="0"/>
    <n v="0"/>
  </r>
  <r>
    <x v="2"/>
    <d v="2016-06-28T00:00:00"/>
    <x v="3"/>
    <n v="100"/>
    <n v="0"/>
    <n v="0"/>
    <n v="0"/>
    <n v="0"/>
    <n v="0"/>
    <n v="0"/>
    <n v="0"/>
  </r>
  <r>
    <x v="0"/>
    <d v="2016-06-28T00:00:00"/>
    <x v="3"/>
    <n v="100"/>
    <n v="0"/>
    <n v="0"/>
    <n v="0"/>
    <n v="0"/>
    <n v="0"/>
    <n v="0"/>
    <n v="0"/>
  </r>
  <r>
    <x v="1"/>
    <d v="2016-06-23T00:00:00"/>
    <x v="3"/>
    <n v="106"/>
    <n v="0"/>
    <n v="0"/>
    <n v="0"/>
    <n v="0"/>
    <n v="0"/>
    <n v="0"/>
    <n v="0"/>
  </r>
  <r>
    <x v="2"/>
    <d v="2016-06-21T00:00:00"/>
    <x v="3"/>
    <n v="101"/>
    <n v="0"/>
    <n v="0"/>
    <n v="0"/>
    <n v="0"/>
    <n v="0"/>
    <n v="0"/>
    <n v="0"/>
  </r>
  <r>
    <x v="1"/>
    <d v="2015-09-09T00:00:00"/>
    <x v="4"/>
    <n v="109"/>
    <n v="0"/>
    <n v="0"/>
    <n v="0"/>
    <n v="0"/>
    <n v="0"/>
    <n v="0"/>
    <n v="0"/>
  </r>
  <r>
    <x v="0"/>
    <d v="2015-09-02T00:00:00"/>
    <x v="4"/>
    <n v="101"/>
    <n v="0"/>
    <n v="0"/>
    <n v="0"/>
    <n v="0"/>
    <n v="0"/>
    <n v="0"/>
    <n v="0"/>
  </r>
  <r>
    <x v="1"/>
    <d v="2015-09-02T00:00:00"/>
    <x v="4"/>
    <n v="109"/>
    <n v="15"/>
    <n v="0"/>
    <n v="0"/>
    <n v="0"/>
    <n v="0"/>
    <n v="0"/>
    <n v="0"/>
  </r>
  <r>
    <x v="2"/>
    <d v="2015-09-01T00:00:00"/>
    <x v="4"/>
    <n v="100"/>
    <n v="2"/>
    <n v="0"/>
    <n v="0"/>
    <n v="0"/>
    <n v="0"/>
    <n v="0"/>
    <n v="0"/>
  </r>
  <r>
    <x v="2"/>
    <d v="2015-08-25T00:00:00"/>
    <x v="4"/>
    <n v="103"/>
    <n v="1"/>
    <n v="0"/>
    <n v="0"/>
    <n v="0"/>
    <n v="0"/>
    <n v="0"/>
    <n v="0"/>
  </r>
  <r>
    <x v="0"/>
    <d v="2015-08-24T00:00:00"/>
    <x v="4"/>
    <n v="100"/>
    <n v="10"/>
    <n v="0"/>
    <n v="0"/>
    <n v="0"/>
    <n v="0"/>
    <n v="0"/>
    <n v="0"/>
  </r>
  <r>
    <x v="2"/>
    <d v="2015-08-20T00:00:00"/>
    <x v="4"/>
    <n v="100"/>
    <n v="2"/>
    <n v="1"/>
    <n v="0"/>
    <n v="0"/>
    <n v="0"/>
    <n v="0"/>
    <n v="0"/>
  </r>
  <r>
    <x v="0"/>
    <d v="2015-08-20T00:00:00"/>
    <x v="4"/>
    <n v="101"/>
    <n v="15"/>
    <n v="0"/>
    <n v="0"/>
    <n v="0"/>
    <n v="0"/>
    <n v="0"/>
    <n v="0"/>
  </r>
  <r>
    <x v="1"/>
    <d v="2015-08-20T00:00:00"/>
    <x v="4"/>
    <n v="100"/>
    <n v="19"/>
    <n v="0"/>
    <n v="0"/>
    <n v="0"/>
    <n v="1"/>
    <n v="1"/>
    <n v="0"/>
  </r>
  <r>
    <x v="0"/>
    <d v="2015-08-13T00:00:00"/>
    <x v="4"/>
    <n v="107"/>
    <n v="52"/>
    <n v="0"/>
    <n v="1"/>
    <n v="0"/>
    <n v="0"/>
    <n v="0"/>
    <n v="0"/>
  </r>
  <r>
    <x v="2"/>
    <d v="2015-08-11T00:00:00"/>
    <x v="4"/>
    <n v="107"/>
    <n v="8"/>
    <n v="2"/>
    <n v="0"/>
    <n v="0"/>
    <n v="0"/>
    <n v="0"/>
    <n v="0"/>
  </r>
  <r>
    <x v="1"/>
    <d v="2015-08-11T00:00:00"/>
    <x v="4"/>
    <n v="100"/>
    <n v="12"/>
    <n v="6"/>
    <n v="0"/>
    <n v="0"/>
    <n v="0"/>
    <n v="1"/>
    <n v="0"/>
  </r>
  <r>
    <x v="0"/>
    <d v="2015-08-06T00:00:00"/>
    <x v="4"/>
    <n v="113"/>
    <n v="101"/>
    <n v="2"/>
    <n v="0"/>
    <n v="0"/>
    <n v="0"/>
    <n v="0"/>
    <n v="0"/>
  </r>
  <r>
    <x v="1"/>
    <d v="2015-08-06T00:00:00"/>
    <x v="4"/>
    <n v="111"/>
    <n v="19"/>
    <n v="1"/>
    <n v="0"/>
    <n v="1"/>
    <n v="1"/>
    <n v="0"/>
    <n v="0"/>
  </r>
  <r>
    <x v="2"/>
    <d v="2015-08-04T00:00:00"/>
    <x v="4"/>
    <n v="130"/>
    <n v="36"/>
    <n v="1"/>
    <n v="0"/>
    <n v="0"/>
    <n v="0"/>
    <n v="0"/>
    <n v="0"/>
  </r>
  <r>
    <x v="0"/>
    <d v="2015-07-30T00:00:00"/>
    <x v="4"/>
    <n v="105"/>
    <n v="52"/>
    <n v="0"/>
    <n v="0"/>
    <n v="0"/>
    <n v="0"/>
    <n v="0"/>
    <n v="0"/>
  </r>
  <r>
    <x v="1"/>
    <d v="2015-07-30T00:00:00"/>
    <x v="4"/>
    <n v="103"/>
    <n v="38"/>
    <n v="1"/>
    <n v="1"/>
    <n v="1"/>
    <n v="0"/>
    <n v="0"/>
    <n v="0"/>
  </r>
  <r>
    <x v="2"/>
    <d v="2015-07-28T00:00:00"/>
    <x v="4"/>
    <n v="105"/>
    <n v="7"/>
    <n v="0"/>
    <n v="0"/>
    <n v="0"/>
    <n v="0"/>
    <n v="0"/>
    <n v="0"/>
  </r>
  <r>
    <x v="0"/>
    <d v="2015-07-23T00:00:00"/>
    <x v="4"/>
    <n v="107"/>
    <n v="93"/>
    <n v="2"/>
    <n v="0"/>
    <n v="0"/>
    <n v="0"/>
    <n v="0"/>
    <n v="0"/>
  </r>
  <r>
    <x v="1"/>
    <d v="2015-07-23T00:00:00"/>
    <x v="4"/>
    <n v="100"/>
    <n v="102"/>
    <n v="6"/>
    <n v="3"/>
    <n v="1"/>
    <n v="0"/>
    <n v="0"/>
    <n v="0"/>
  </r>
  <r>
    <x v="2"/>
    <d v="2015-07-21T00:00:00"/>
    <x v="4"/>
    <n v="100"/>
    <n v="22"/>
    <n v="0"/>
    <n v="0"/>
    <n v="0"/>
    <n v="0"/>
    <n v="0"/>
    <n v="0"/>
  </r>
  <r>
    <x v="0"/>
    <d v="2015-07-16T00:00:00"/>
    <x v="4"/>
    <n v="103"/>
    <n v="71"/>
    <n v="0"/>
    <n v="2"/>
    <n v="1"/>
    <n v="0"/>
    <n v="1"/>
    <n v="0"/>
  </r>
  <r>
    <x v="1"/>
    <d v="2015-07-16T00:00:00"/>
    <x v="4"/>
    <n v="100"/>
    <n v="27"/>
    <n v="1"/>
    <n v="0"/>
    <n v="0"/>
    <n v="2"/>
    <n v="1"/>
    <n v="0"/>
  </r>
  <r>
    <x v="2"/>
    <d v="2015-07-14T00:00:00"/>
    <x v="4"/>
    <n v="102"/>
    <n v="14"/>
    <n v="0"/>
    <n v="1"/>
    <n v="0"/>
    <n v="0"/>
    <n v="0"/>
    <n v="0"/>
  </r>
  <r>
    <x v="0"/>
    <d v="2015-07-09T00:00:00"/>
    <x v="4"/>
    <n v="127"/>
    <n v="42"/>
    <n v="0"/>
    <n v="0"/>
    <n v="0"/>
    <n v="0"/>
    <n v="0"/>
    <n v="0"/>
  </r>
  <r>
    <x v="1"/>
    <d v="2015-07-09T00:00:00"/>
    <x v="4"/>
    <n v="100"/>
    <n v="8"/>
    <n v="0"/>
    <n v="0"/>
    <n v="0"/>
    <n v="2"/>
    <n v="1"/>
    <n v="0"/>
  </r>
  <r>
    <x v="2"/>
    <d v="2015-07-07T00:00:00"/>
    <x v="4"/>
    <n v="116"/>
    <n v="7"/>
    <n v="0"/>
    <n v="0"/>
    <n v="0"/>
    <n v="0"/>
    <n v="0"/>
    <n v="0"/>
  </r>
  <r>
    <x v="0"/>
    <d v="2015-07-02T00:00:00"/>
    <x v="4"/>
    <n v="101"/>
    <n v="28"/>
    <n v="1"/>
    <n v="0"/>
    <n v="0"/>
    <n v="0"/>
    <n v="0"/>
    <n v="0"/>
  </r>
  <r>
    <x v="1"/>
    <d v="2015-07-02T00:00:00"/>
    <x v="4"/>
    <n v="100"/>
    <n v="0"/>
    <n v="1"/>
    <n v="0"/>
    <n v="0"/>
    <n v="0"/>
    <n v="1"/>
    <n v="0"/>
  </r>
  <r>
    <x v="2"/>
    <d v="2015-06-30T00:00:00"/>
    <x v="4"/>
    <n v="103"/>
    <n v="0"/>
    <n v="0"/>
    <n v="0"/>
    <n v="0"/>
    <n v="0"/>
    <n v="0"/>
    <n v="0"/>
  </r>
  <r>
    <x v="1"/>
    <d v="2015-06-25T00:00:00"/>
    <x v="4"/>
    <n v="111"/>
    <n v="0"/>
    <n v="3"/>
    <n v="0"/>
    <n v="0"/>
    <n v="0"/>
    <n v="0"/>
    <n v="0"/>
  </r>
  <r>
    <x v="2"/>
    <d v="2015-06-23T00:00:00"/>
    <x v="4"/>
    <n v="107"/>
    <n v="0"/>
    <n v="0"/>
    <n v="2"/>
    <n v="0"/>
    <n v="0"/>
    <n v="0"/>
    <n v="0"/>
  </r>
  <r>
    <x v="1"/>
    <d v="2014-09-18T00:00:00"/>
    <x v="5"/>
    <n v="100"/>
    <n v="0"/>
    <n v="0"/>
    <n v="0"/>
    <n v="0"/>
    <n v="0"/>
    <n v="0"/>
    <n v="0"/>
  </r>
  <r>
    <x v="0"/>
    <d v="2014-09-17T00:00:00"/>
    <x v="5"/>
    <n v="101"/>
    <n v="2"/>
    <n v="0"/>
    <n v="0"/>
    <n v="0"/>
    <n v="0"/>
    <n v="0"/>
    <n v="0"/>
  </r>
  <r>
    <x v="2"/>
    <d v="2014-09-05T00:00:00"/>
    <x v="5"/>
    <n v="103"/>
    <n v="0"/>
    <n v="0"/>
    <n v="0"/>
    <n v="0"/>
    <n v="0"/>
    <n v="0"/>
    <n v="0"/>
  </r>
  <r>
    <x v="1"/>
    <d v="2014-08-28T00:00:00"/>
    <x v="5"/>
    <n v="101"/>
    <n v="11"/>
    <n v="0"/>
    <n v="0"/>
    <n v="0"/>
    <n v="0"/>
    <n v="0"/>
    <n v="0"/>
  </r>
  <r>
    <x v="0"/>
    <d v="2014-08-22T00:00:00"/>
    <x v="5"/>
    <n v="70"/>
    <n v="7"/>
    <n v="0"/>
    <n v="3"/>
    <n v="0"/>
    <n v="0"/>
    <n v="0"/>
    <n v="0"/>
  </r>
  <r>
    <x v="1"/>
    <d v="2014-08-22T00:00:00"/>
    <x v="5"/>
    <n v="100"/>
    <n v="3"/>
    <n v="0"/>
    <n v="0"/>
    <n v="0"/>
    <n v="0"/>
    <n v="0"/>
    <n v="0"/>
  </r>
  <r>
    <x v="0"/>
    <d v="2014-08-14T00:00:00"/>
    <x v="5"/>
    <n v="101"/>
    <n v="7"/>
    <n v="1"/>
    <n v="0"/>
    <n v="0"/>
    <n v="0"/>
    <n v="0"/>
    <n v="0"/>
  </r>
  <r>
    <x v="2"/>
    <d v="2014-08-13T00:00:00"/>
    <x v="5"/>
    <n v="100"/>
    <n v="0"/>
    <n v="0"/>
    <n v="0"/>
    <n v="0"/>
    <n v="0"/>
    <n v="0"/>
    <n v="0"/>
  </r>
  <r>
    <x v="0"/>
    <d v="2014-08-07T00:00:00"/>
    <x v="5"/>
    <n v="100"/>
    <n v="8"/>
    <n v="0"/>
    <n v="0"/>
    <n v="0"/>
    <n v="0"/>
    <n v="0"/>
    <n v="0"/>
  </r>
  <r>
    <x v="1"/>
    <d v="2014-08-07T00:00:00"/>
    <x v="5"/>
    <n v="100"/>
    <n v="8"/>
    <n v="0"/>
    <n v="1"/>
    <n v="0"/>
    <n v="0"/>
    <n v="0"/>
    <n v="0"/>
  </r>
  <r>
    <x v="2"/>
    <d v="2014-08-04T00:00:00"/>
    <x v="5"/>
    <n v="100"/>
    <n v="2"/>
    <n v="0"/>
    <n v="0"/>
    <n v="0"/>
    <n v="0"/>
    <n v="0"/>
    <n v="0"/>
  </r>
  <r>
    <x v="0"/>
    <d v="2014-07-31T00:00:00"/>
    <x v="5"/>
    <n v="102"/>
    <n v="5"/>
    <n v="0"/>
    <n v="0"/>
    <n v="0"/>
    <n v="0"/>
    <n v="0"/>
    <n v="0"/>
  </r>
  <r>
    <x v="1"/>
    <d v="2014-07-31T00:00:00"/>
    <x v="5"/>
    <n v="100"/>
    <n v="12"/>
    <n v="0"/>
    <n v="0"/>
    <n v="0"/>
    <n v="1"/>
    <n v="0"/>
    <n v="0"/>
  </r>
  <r>
    <x v="2"/>
    <d v="2014-07-30T00:00:00"/>
    <x v="5"/>
    <n v="104"/>
    <n v="1"/>
    <n v="0"/>
    <n v="0"/>
    <n v="0"/>
    <n v="0"/>
    <n v="0"/>
    <n v="0"/>
  </r>
  <r>
    <x v="0"/>
    <d v="2014-07-24T00:00:00"/>
    <x v="5"/>
    <n v="101"/>
    <n v="6"/>
    <n v="0"/>
    <n v="0"/>
    <n v="0"/>
    <n v="0"/>
    <n v="0"/>
    <n v="0"/>
  </r>
  <r>
    <x v="1"/>
    <d v="2014-07-24T00:00:00"/>
    <x v="5"/>
    <n v="101"/>
    <n v="36"/>
    <n v="2"/>
    <n v="2"/>
    <n v="1"/>
    <n v="0"/>
    <n v="0"/>
    <n v="0"/>
  </r>
  <r>
    <x v="2"/>
    <d v="2014-07-23T00:00:00"/>
    <x v="5"/>
    <n v="100"/>
    <n v="0"/>
    <n v="0"/>
    <n v="0"/>
    <n v="1"/>
    <n v="0"/>
    <n v="0"/>
    <n v="0"/>
  </r>
  <r>
    <x v="1"/>
    <d v="2014-07-17T00:00:00"/>
    <x v="5"/>
    <n v="100"/>
    <n v="7"/>
    <n v="0"/>
    <n v="0"/>
    <n v="0"/>
    <n v="0"/>
    <n v="0"/>
    <n v="0"/>
  </r>
  <r>
    <x v="2"/>
    <d v="2014-07-10T00:00:00"/>
    <x v="5"/>
    <n v="104"/>
    <n v="5"/>
    <n v="0"/>
    <n v="0"/>
    <n v="0"/>
    <n v="0"/>
    <n v="0"/>
    <n v="0"/>
  </r>
  <r>
    <x v="0"/>
    <d v="2014-07-10T00:00:00"/>
    <x v="5"/>
    <n v="103"/>
    <n v="4"/>
    <n v="0"/>
    <n v="0"/>
    <n v="0"/>
    <n v="0"/>
    <n v="0"/>
    <n v="0"/>
  </r>
  <r>
    <x v="2"/>
    <d v="2014-07-08T00:00:00"/>
    <x v="5"/>
    <n v="78"/>
    <n v="10"/>
    <n v="0"/>
    <n v="0"/>
    <n v="2"/>
    <n v="0"/>
    <n v="0"/>
    <n v="0"/>
  </r>
  <r>
    <x v="0"/>
    <d v="2014-07-03T00:00:00"/>
    <x v="5"/>
    <n v="100"/>
    <n v="4"/>
    <n v="1"/>
    <n v="0"/>
    <n v="0"/>
    <n v="0"/>
    <n v="0"/>
    <n v="0"/>
  </r>
  <r>
    <x v="2"/>
    <d v="2014-07-02T00:00:00"/>
    <x v="5"/>
    <n v="70"/>
    <n v="0"/>
    <n v="0"/>
    <n v="0"/>
    <n v="0"/>
    <n v="0"/>
    <n v="0"/>
    <n v="0"/>
  </r>
  <r>
    <x v="0"/>
    <d v="2014-06-19T00:00:00"/>
    <x v="5"/>
    <n v="109"/>
    <n v="13"/>
    <n v="0"/>
    <n v="0"/>
    <n v="2"/>
    <n v="1"/>
    <n v="0"/>
    <n v="0"/>
  </r>
  <r>
    <x v="2"/>
    <d v="2013-08-26T00:00:00"/>
    <x v="6"/>
    <n v="100"/>
    <n v="1"/>
    <n v="0"/>
    <n v="0"/>
    <n v="0"/>
    <n v="0"/>
    <n v="0"/>
    <n v="0"/>
  </r>
  <r>
    <x v="0"/>
    <d v="2013-08-26T00:00:00"/>
    <x v="6"/>
    <n v="100"/>
    <n v="12"/>
    <n v="1"/>
    <n v="0"/>
    <n v="0"/>
    <n v="0"/>
    <n v="0"/>
    <n v="0"/>
  </r>
  <r>
    <x v="1"/>
    <d v="2013-08-26T00:00:00"/>
    <x v="6"/>
    <n v="100"/>
    <n v="6"/>
    <n v="0"/>
    <n v="0"/>
    <n v="0"/>
    <n v="0"/>
    <n v="0"/>
    <n v="0"/>
  </r>
  <r>
    <x v="2"/>
    <d v="2013-08-19T00:00:00"/>
    <x v="6"/>
    <n v="23"/>
    <n v="0"/>
    <n v="0"/>
    <n v="0"/>
    <n v="0"/>
    <n v="0"/>
    <n v="0"/>
    <n v="0"/>
  </r>
  <r>
    <x v="0"/>
    <d v="2013-08-19T00:00:00"/>
    <x v="6"/>
    <n v="100"/>
    <n v="20"/>
    <n v="2"/>
    <n v="0"/>
    <n v="0"/>
    <n v="0"/>
    <n v="0"/>
    <n v="0"/>
  </r>
  <r>
    <x v="1"/>
    <d v="2013-08-19T00:00:00"/>
    <x v="6"/>
    <n v="100"/>
    <n v="5"/>
    <n v="0"/>
    <n v="1"/>
    <n v="0"/>
    <n v="0"/>
    <n v="0"/>
    <n v="0"/>
  </r>
  <r>
    <x v="2"/>
    <d v="2013-08-14T00:00:00"/>
    <x v="6"/>
    <n v="103"/>
    <n v="4"/>
    <n v="0"/>
    <n v="0"/>
    <n v="0"/>
    <n v="0"/>
    <n v="0"/>
    <n v="0"/>
  </r>
  <r>
    <x v="1"/>
    <d v="2013-08-14T00:00:00"/>
    <x v="6"/>
    <n v="101"/>
    <n v="0"/>
    <n v="0"/>
    <n v="0"/>
    <n v="0"/>
    <n v="0"/>
    <n v="0"/>
    <n v="0"/>
  </r>
  <r>
    <x v="0"/>
    <d v="2013-08-08T00:00:00"/>
    <x v="6"/>
    <n v="106"/>
    <n v="6"/>
    <n v="0"/>
    <n v="0"/>
    <n v="0"/>
    <n v="0"/>
    <n v="0"/>
    <n v="0"/>
  </r>
  <r>
    <x v="2"/>
    <d v="2013-08-07T00:00:00"/>
    <x v="6"/>
    <n v="103"/>
    <n v="3"/>
    <n v="0"/>
    <n v="0"/>
    <n v="0"/>
    <n v="0"/>
    <n v="0"/>
    <n v="0"/>
  </r>
  <r>
    <x v="1"/>
    <d v="2013-08-07T00:00:00"/>
    <x v="6"/>
    <n v="101"/>
    <n v="1"/>
    <n v="0"/>
    <n v="0"/>
    <n v="0"/>
    <n v="0"/>
    <n v="0"/>
    <n v="0"/>
  </r>
  <r>
    <x v="0"/>
    <d v="2013-08-01T00:00:00"/>
    <x v="6"/>
    <n v="97"/>
    <n v="8"/>
    <n v="0"/>
    <n v="0"/>
    <n v="0"/>
    <n v="0"/>
    <n v="0"/>
    <n v="0"/>
  </r>
  <r>
    <x v="2"/>
    <d v="2013-07-31T00:00:00"/>
    <x v="6"/>
    <n v="95"/>
    <n v="0"/>
    <n v="0"/>
    <n v="0"/>
    <n v="0"/>
    <n v="0"/>
    <n v="0"/>
    <n v="0"/>
  </r>
  <r>
    <x v="1"/>
    <d v="2013-07-31T00:00:00"/>
    <x v="6"/>
    <n v="103"/>
    <n v="2"/>
    <n v="0"/>
    <n v="0"/>
    <n v="0"/>
    <n v="0"/>
    <n v="0"/>
    <n v="0"/>
  </r>
  <r>
    <x v="0"/>
    <d v="2013-07-25T00:00:00"/>
    <x v="6"/>
    <n v="104"/>
    <n v="4"/>
    <n v="0"/>
    <n v="0"/>
    <n v="0"/>
    <n v="0"/>
    <n v="0"/>
    <n v="0"/>
  </r>
  <r>
    <x v="2"/>
    <d v="2013-07-24T00:00:00"/>
    <x v="6"/>
    <n v="109"/>
    <n v="9"/>
    <n v="0"/>
    <n v="0"/>
    <n v="0"/>
    <n v="0"/>
    <n v="0"/>
    <n v="0"/>
  </r>
  <r>
    <x v="1"/>
    <d v="2013-07-24T00:00:00"/>
    <x v="6"/>
    <n v="102"/>
    <n v="13"/>
    <n v="0"/>
    <n v="0"/>
    <n v="0"/>
    <n v="0"/>
    <n v="0"/>
    <n v="0"/>
  </r>
  <r>
    <x v="0"/>
    <d v="2013-07-18T00:00:00"/>
    <x v="6"/>
    <n v="102"/>
    <n v="2"/>
    <n v="0"/>
    <n v="0"/>
    <n v="0"/>
    <n v="0"/>
    <n v="0"/>
    <n v="0"/>
  </r>
  <r>
    <x v="2"/>
    <d v="2013-07-17T00:00:00"/>
    <x v="6"/>
    <n v="126"/>
    <n v="0"/>
    <n v="0"/>
    <n v="0"/>
    <n v="0"/>
    <n v="0"/>
    <n v="0"/>
    <n v="0"/>
  </r>
  <r>
    <x v="1"/>
    <d v="2013-07-17T00:00:00"/>
    <x v="6"/>
    <n v="106"/>
    <n v="5"/>
    <n v="0"/>
    <n v="0"/>
    <n v="0"/>
    <n v="0"/>
    <n v="0"/>
    <n v="0"/>
  </r>
  <r>
    <x v="0"/>
    <d v="2013-07-11T00:00:00"/>
    <x v="6"/>
    <n v="106"/>
    <n v="6"/>
    <n v="0"/>
    <n v="0"/>
    <n v="0"/>
    <n v="0"/>
    <n v="0"/>
    <n v="0"/>
  </r>
  <r>
    <x v="2"/>
    <d v="2013-07-10T00:00:00"/>
    <x v="6"/>
    <n v="106"/>
    <n v="1"/>
    <n v="0"/>
    <n v="0"/>
    <n v="0"/>
    <n v="0"/>
    <n v="0"/>
    <n v="0"/>
  </r>
  <r>
    <x v="1"/>
    <d v="2013-07-10T00:00:00"/>
    <x v="6"/>
    <n v="101"/>
    <n v="0"/>
    <n v="0"/>
    <n v="0"/>
    <n v="0"/>
    <n v="0"/>
    <n v="0"/>
    <n v="0"/>
  </r>
  <r>
    <x v="1"/>
    <d v="2012-08-23T00:00:00"/>
    <x v="7"/>
    <n v="103"/>
    <n v="0"/>
    <n v="0"/>
    <n v="0"/>
    <n v="0"/>
    <n v="0"/>
    <n v="0"/>
    <n v="0"/>
  </r>
  <r>
    <x v="2"/>
    <d v="2012-08-22T00:00:00"/>
    <x v="7"/>
    <n v="108"/>
    <n v="5"/>
    <n v="0"/>
    <n v="0"/>
    <n v="0"/>
    <n v="0"/>
    <n v="0"/>
    <n v="0"/>
  </r>
  <r>
    <x v="0"/>
    <d v="2012-08-21T00:00:00"/>
    <x v="7"/>
    <n v="104"/>
    <n v="1"/>
    <n v="3"/>
    <n v="0"/>
    <n v="0"/>
    <n v="0"/>
    <n v="0"/>
    <n v="0"/>
  </r>
  <r>
    <x v="1"/>
    <d v="2012-08-17T00:00:00"/>
    <x v="7"/>
    <n v="109"/>
    <n v="1"/>
    <n v="0"/>
    <n v="0"/>
    <n v="0"/>
    <n v="0"/>
    <n v="0"/>
    <n v="0"/>
  </r>
  <r>
    <x v="2"/>
    <d v="2012-08-15T00:00:00"/>
    <x v="7"/>
    <n v="110"/>
    <n v="1"/>
    <n v="0"/>
    <n v="0"/>
    <n v="1"/>
    <n v="0"/>
    <n v="0"/>
    <n v="0"/>
  </r>
  <r>
    <x v="0"/>
    <d v="2012-08-14T00:00:00"/>
    <x v="7"/>
    <n v="109"/>
    <n v="4"/>
    <n v="0"/>
    <n v="0"/>
    <n v="0"/>
    <n v="0"/>
    <n v="0"/>
    <n v="0"/>
  </r>
  <r>
    <x v="1"/>
    <d v="2012-08-10T00:00:00"/>
    <x v="7"/>
    <n v="106"/>
    <n v="3"/>
    <n v="0"/>
    <n v="0"/>
    <n v="0"/>
    <n v="0"/>
    <n v="0"/>
    <n v="0"/>
  </r>
  <r>
    <x v="2"/>
    <d v="2012-08-08T00:00:00"/>
    <x v="7"/>
    <n v="106"/>
    <n v="1"/>
    <n v="1"/>
    <n v="0"/>
    <n v="0"/>
    <n v="0"/>
    <n v="0"/>
    <n v="0"/>
  </r>
  <r>
    <x v="0"/>
    <d v="2012-08-07T00:00:00"/>
    <x v="7"/>
    <n v="111"/>
    <n v="4"/>
    <n v="0"/>
    <n v="0"/>
    <n v="0"/>
    <n v="0"/>
    <n v="0"/>
    <n v="0"/>
  </r>
  <r>
    <x v="1"/>
    <d v="2012-08-02T00:00:00"/>
    <x v="7"/>
    <n v="109"/>
    <n v="0"/>
    <n v="0"/>
    <n v="0"/>
    <n v="0"/>
    <n v="0"/>
    <n v="0"/>
    <n v="0"/>
  </r>
  <r>
    <x v="2"/>
    <d v="2012-08-01T00:00:00"/>
    <x v="7"/>
    <n v="117"/>
    <n v="7"/>
    <n v="1"/>
    <n v="0"/>
    <n v="0"/>
    <n v="0"/>
    <n v="0"/>
    <n v="0"/>
  </r>
  <r>
    <x v="0"/>
    <d v="2012-07-31T00:00:00"/>
    <x v="7"/>
    <n v="109"/>
    <n v="22"/>
    <n v="0"/>
    <n v="0"/>
    <n v="0"/>
    <n v="0"/>
    <n v="0"/>
    <n v="0"/>
  </r>
  <r>
    <x v="1"/>
    <d v="2012-07-27T00:00:00"/>
    <x v="7"/>
    <n v="114"/>
    <n v="2"/>
    <n v="0"/>
    <n v="0"/>
    <n v="0"/>
    <n v="0"/>
    <n v="0"/>
    <n v="0"/>
  </r>
  <r>
    <x v="2"/>
    <d v="2012-07-25T00:00:00"/>
    <x v="7"/>
    <n v="111"/>
    <n v="3"/>
    <n v="0"/>
    <n v="0"/>
    <n v="0"/>
    <n v="0"/>
    <n v="0"/>
    <n v="0"/>
  </r>
  <r>
    <x v="0"/>
    <d v="2012-07-24T00:00:00"/>
    <x v="7"/>
    <n v="110"/>
    <n v="29"/>
    <n v="0"/>
    <n v="0"/>
    <n v="0"/>
    <n v="0"/>
    <n v="0"/>
    <n v="0"/>
  </r>
  <r>
    <x v="1"/>
    <d v="2012-07-19T00:00:00"/>
    <x v="7"/>
    <n v="116"/>
    <n v="2"/>
    <n v="0"/>
    <n v="0"/>
    <n v="0"/>
    <n v="0"/>
    <n v="0"/>
    <n v="0"/>
  </r>
  <r>
    <x v="2"/>
    <d v="2012-07-18T00:00:00"/>
    <x v="7"/>
    <n v="104"/>
    <n v="6"/>
    <n v="0"/>
    <n v="0"/>
    <n v="0"/>
    <n v="0"/>
    <n v="0"/>
    <n v="0"/>
  </r>
  <r>
    <x v="0"/>
    <d v="2012-07-17T00:00:00"/>
    <x v="7"/>
    <n v="114"/>
    <n v="39"/>
    <n v="0"/>
    <n v="0"/>
    <n v="0"/>
    <n v="0"/>
    <n v="0"/>
    <n v="0"/>
  </r>
  <r>
    <x v="1"/>
    <d v="2012-07-12T00:00:00"/>
    <x v="7"/>
    <n v="114"/>
    <n v="5"/>
    <n v="0"/>
    <n v="0"/>
    <n v="0"/>
    <n v="0"/>
    <n v="0"/>
    <n v="0"/>
  </r>
  <r>
    <x v="2"/>
    <d v="2012-07-11T00:00:00"/>
    <x v="7"/>
    <n v="103"/>
    <n v="3"/>
    <n v="0"/>
    <n v="0"/>
    <n v="0"/>
    <n v="0"/>
    <n v="0"/>
    <n v="0"/>
  </r>
  <r>
    <x v="0"/>
    <d v="2012-07-10T00:00:00"/>
    <x v="7"/>
    <n v="108"/>
    <n v="43"/>
    <n v="0"/>
    <n v="0"/>
    <n v="0"/>
    <n v="0"/>
    <n v="0"/>
    <n v="0"/>
  </r>
  <r>
    <x v="1"/>
    <d v="2012-07-06T00:00:00"/>
    <x v="7"/>
    <n v="119"/>
    <n v="4"/>
    <n v="0"/>
    <n v="0"/>
    <n v="0"/>
    <n v="0"/>
    <n v="0"/>
    <n v="0"/>
  </r>
  <r>
    <x v="2"/>
    <d v="2012-07-04T00:00:00"/>
    <x v="7"/>
    <n v="133"/>
    <n v="4"/>
    <n v="0"/>
    <n v="0"/>
    <n v="0"/>
    <n v="0"/>
    <n v="0"/>
    <n v="0"/>
  </r>
  <r>
    <x v="0"/>
    <d v="2012-07-03T00:00:00"/>
    <x v="7"/>
    <n v="103"/>
    <n v="5"/>
    <n v="0"/>
    <n v="0"/>
    <n v="0"/>
    <n v="0"/>
    <n v="0"/>
    <n v="0"/>
  </r>
  <r>
    <x v="2"/>
    <d v="2012-06-27T00:00:00"/>
    <x v="7"/>
    <n v="57"/>
    <n v="2"/>
    <n v="0"/>
    <n v="0"/>
    <n v="0"/>
    <n v="0"/>
    <n v="0"/>
    <n v="0"/>
  </r>
  <r>
    <x v="0"/>
    <d v="2012-06-26T00:00:00"/>
    <x v="7"/>
    <n v="100"/>
    <n v="9"/>
    <n v="0"/>
    <n v="0"/>
    <n v="0"/>
    <n v="0"/>
    <n v="0"/>
    <n v="0"/>
  </r>
  <r>
    <x v="0"/>
    <d v="2011-09-16T00:00:00"/>
    <x v="8"/>
    <n v="100"/>
    <n v="6"/>
    <n v="0"/>
    <n v="0"/>
    <n v="0"/>
    <n v="0"/>
    <n v="0"/>
    <n v="0"/>
  </r>
  <r>
    <x v="0"/>
    <d v="2011-09-09T00:00:00"/>
    <x v="8"/>
    <n v="100"/>
    <n v="36"/>
    <n v="0"/>
    <n v="0"/>
    <n v="0"/>
    <n v="0"/>
    <n v="0"/>
    <n v="0"/>
  </r>
  <r>
    <x v="0"/>
    <d v="2011-09-02T00:00:00"/>
    <x v="8"/>
    <n v="100"/>
    <n v="58"/>
    <n v="0"/>
    <n v="0"/>
    <n v="0"/>
    <n v="0"/>
    <n v="0"/>
    <n v="0"/>
  </r>
  <r>
    <x v="0"/>
    <d v="2011-08-26T00:00:00"/>
    <x v="8"/>
    <n v="100"/>
    <n v="76"/>
    <n v="0"/>
    <n v="0"/>
    <n v="0"/>
    <n v="0"/>
    <n v="0"/>
    <n v="0"/>
  </r>
  <r>
    <x v="0"/>
    <d v="2011-08-19T00:00:00"/>
    <x v="8"/>
    <n v="100"/>
    <n v="26"/>
    <n v="2"/>
    <n v="0"/>
    <n v="0"/>
    <n v="1"/>
    <n v="0"/>
    <n v="0"/>
  </r>
  <r>
    <x v="0"/>
    <d v="2011-08-05T00:00:00"/>
    <x v="8"/>
    <n v="100"/>
    <n v="69"/>
    <n v="3"/>
    <n v="1"/>
    <n v="0"/>
    <n v="0"/>
    <n v="0"/>
    <n v="0"/>
  </r>
  <r>
    <x v="0"/>
    <d v="2011-07-27T00:00:00"/>
    <x v="8"/>
    <n v="100"/>
    <n v="23"/>
    <n v="0"/>
    <n v="0"/>
    <n v="1"/>
    <n v="0"/>
    <n v="0"/>
    <n v="0"/>
  </r>
  <r>
    <x v="0"/>
    <d v="2011-07-16T00:00:00"/>
    <x v="8"/>
    <n v="100"/>
    <n v="16"/>
    <n v="2"/>
    <n v="2"/>
    <n v="0"/>
    <n v="0"/>
    <n v="0"/>
    <n v="0"/>
  </r>
  <r>
    <x v="0"/>
    <d v="2011-07-07T00:00:00"/>
    <x v="8"/>
    <n v="100"/>
    <n v="10"/>
    <n v="0"/>
    <n v="0"/>
    <n v="0"/>
    <n v="0"/>
    <n v="1"/>
    <n v="0"/>
  </r>
  <r>
    <x v="0"/>
    <d v="2011-07-01T00:00:00"/>
    <x v="8"/>
    <n v="100"/>
    <n v="5"/>
    <n v="0"/>
    <n v="1"/>
    <n v="1"/>
    <n v="0"/>
    <n v="0"/>
    <n v="0"/>
  </r>
  <r>
    <x v="0"/>
    <d v="2011-06-24T00:00:00"/>
    <x v="8"/>
    <n v="100"/>
    <n v="8"/>
    <n v="2"/>
    <n v="0"/>
    <n v="0"/>
    <n v="0"/>
    <n v="0"/>
    <n v="0"/>
  </r>
  <r>
    <x v="0"/>
    <d v="2011-06-17T00:00:00"/>
    <x v="8"/>
    <n v="100"/>
    <n v="19"/>
    <n v="0"/>
    <n v="0"/>
    <n v="0"/>
    <n v="0"/>
    <n v="0"/>
    <n v="0"/>
  </r>
  <r>
    <x v="0"/>
    <d v="2008-08-12T00:00:00"/>
    <x v="9"/>
    <n v="100"/>
    <n v="40"/>
    <n v="1"/>
    <n v="0"/>
    <n v="0"/>
    <n v="0"/>
    <n v="0"/>
    <m/>
  </r>
  <r>
    <x v="0"/>
    <d v="2008-07-31T00:00:00"/>
    <x v="9"/>
    <n v="56"/>
    <n v="42"/>
    <n v="0"/>
    <n v="0"/>
    <n v="0"/>
    <n v="0"/>
    <n v="0"/>
    <m/>
  </r>
  <r>
    <x v="0"/>
    <d v="2008-07-16T00:00:00"/>
    <x v="9"/>
    <n v="36"/>
    <n v="31"/>
    <n v="0"/>
    <n v="0"/>
    <n v="0"/>
    <n v="0"/>
    <n v="0"/>
    <m/>
  </r>
  <r>
    <x v="0"/>
    <d v="2008-07-08T00:00:00"/>
    <x v="9"/>
    <n v="100"/>
    <n v="1"/>
    <n v="0"/>
    <n v="0"/>
    <n v="0"/>
    <n v="0"/>
    <n v="0"/>
    <m/>
  </r>
  <r>
    <x v="0"/>
    <d v="2008-07-03T00:00:00"/>
    <x v="9"/>
    <n v="40"/>
    <n v="15"/>
    <n v="0"/>
    <n v="0"/>
    <n v="0"/>
    <n v="1"/>
    <n v="0"/>
    <m/>
  </r>
  <r>
    <x v="0"/>
    <d v="2008-06-26T00:00:00"/>
    <x v="9"/>
    <n v="70"/>
    <n v="47"/>
    <n v="1"/>
    <n v="1"/>
    <n v="0"/>
    <n v="0"/>
    <n v="1"/>
    <m/>
  </r>
  <r>
    <x v="0"/>
    <d v="2008-06-20T00:00:00"/>
    <x v="9"/>
    <n v="20"/>
    <n v="0"/>
    <n v="0"/>
    <n v="0"/>
    <n v="0"/>
    <n v="0"/>
    <n v="0"/>
    <m/>
  </r>
  <r>
    <x v="0"/>
    <d v="2007-08-16T00:00:00"/>
    <x v="10"/>
    <n v="100"/>
    <n v="5"/>
    <n v="0"/>
    <n v="2"/>
    <n v="0"/>
    <n v="0"/>
    <n v="0"/>
    <m/>
  </r>
  <r>
    <x v="0"/>
    <d v="2007-08-07T00:00:00"/>
    <x v="10"/>
    <n v="100"/>
    <n v="23"/>
    <n v="6"/>
    <n v="3"/>
    <n v="0"/>
    <n v="3"/>
    <n v="0"/>
    <m/>
  </r>
  <r>
    <x v="0"/>
    <d v="2007-07-31T00:00:00"/>
    <x v="10"/>
    <n v="100"/>
    <n v="43"/>
    <n v="6"/>
    <n v="0"/>
    <n v="0"/>
    <n v="0"/>
    <n v="0"/>
    <m/>
  </r>
  <r>
    <x v="0"/>
    <d v="2007-07-26T00:00:00"/>
    <x v="10"/>
    <n v="100"/>
    <n v="91"/>
    <n v="12"/>
    <n v="4"/>
    <n v="0"/>
    <n v="0"/>
    <n v="0"/>
    <m/>
  </r>
  <r>
    <x v="0"/>
    <d v="2007-07-19T00:00:00"/>
    <x v="10"/>
    <n v="100"/>
    <n v="45"/>
    <n v="3"/>
    <n v="2"/>
    <n v="1"/>
    <n v="0"/>
    <n v="3"/>
    <m/>
  </r>
  <r>
    <x v="0"/>
    <d v="2007-07-12T00:00:00"/>
    <x v="10"/>
    <n v="97"/>
    <n v="84"/>
    <n v="0"/>
    <n v="0"/>
    <n v="0"/>
    <n v="0"/>
    <n v="0"/>
    <m/>
  </r>
  <r>
    <x v="0"/>
    <d v="2007-07-06T00:00:00"/>
    <x v="10"/>
    <n v="100"/>
    <n v="92"/>
    <n v="2"/>
    <n v="6"/>
    <n v="2"/>
    <n v="6"/>
    <n v="5"/>
    <m/>
  </r>
  <r>
    <x v="0"/>
    <d v="2007-06-27T00:00:00"/>
    <x v="10"/>
    <n v="100"/>
    <n v="24"/>
    <n v="2"/>
    <n v="0"/>
    <n v="2"/>
    <n v="0"/>
    <n v="4"/>
    <m/>
  </r>
  <r>
    <x v="0"/>
    <d v="2007-06-19T00:00:00"/>
    <x v="10"/>
    <n v="100"/>
    <n v="49"/>
    <n v="8"/>
    <n v="6"/>
    <n v="2"/>
    <n v="3"/>
    <n v="5"/>
    <m/>
  </r>
  <r>
    <x v="0"/>
    <d v="2007-06-13T00:00:00"/>
    <x v="10"/>
    <n v="100"/>
    <n v="99"/>
    <n v="6"/>
    <n v="0"/>
    <n v="1"/>
    <n v="1"/>
    <n v="0"/>
    <m/>
  </r>
  <r>
    <x v="0"/>
    <d v="2006-08-26T00:00:00"/>
    <x v="11"/>
    <n v="100"/>
    <n v="0"/>
    <n v="0"/>
    <n v="0"/>
    <n v="0"/>
    <n v="0"/>
    <n v="0"/>
    <m/>
  </r>
  <r>
    <x v="0"/>
    <d v="2006-08-18T00:00:00"/>
    <x v="11"/>
    <n v="100"/>
    <n v="3"/>
    <n v="0"/>
    <n v="0"/>
    <n v="0"/>
    <n v="0"/>
    <n v="0"/>
    <m/>
  </r>
  <r>
    <x v="0"/>
    <d v="2006-08-11T00:00:00"/>
    <x v="11"/>
    <n v="100"/>
    <n v="14"/>
    <n v="0"/>
    <n v="1"/>
    <n v="0"/>
    <n v="0"/>
    <n v="0"/>
    <m/>
  </r>
  <r>
    <x v="0"/>
    <d v="2006-08-01T00:00:00"/>
    <x v="11"/>
    <n v="100"/>
    <n v="14"/>
    <n v="3"/>
    <n v="1"/>
    <n v="0"/>
    <n v="0"/>
    <n v="0"/>
    <m/>
  </r>
  <r>
    <x v="0"/>
    <d v="2006-07-28T00:00:00"/>
    <x v="11"/>
    <n v="100"/>
    <n v="21"/>
    <n v="0"/>
    <n v="0"/>
    <n v="0"/>
    <n v="0"/>
    <n v="0"/>
    <m/>
  </r>
  <r>
    <x v="0"/>
    <d v="2006-07-21T00:00:00"/>
    <x v="11"/>
    <n v="100"/>
    <n v="8"/>
    <n v="2"/>
    <n v="0"/>
    <n v="0"/>
    <n v="0"/>
    <n v="0"/>
    <m/>
  </r>
  <r>
    <x v="0"/>
    <d v="2006-07-16T00:00:00"/>
    <x v="11"/>
    <n v="100"/>
    <n v="8"/>
    <n v="3"/>
    <n v="0"/>
    <n v="0"/>
    <n v="0"/>
    <n v="0"/>
    <m/>
  </r>
  <r>
    <x v="0"/>
    <d v="2006-07-07T00:00:00"/>
    <x v="11"/>
    <n v="100"/>
    <n v="15"/>
    <n v="1"/>
    <n v="0"/>
    <n v="0"/>
    <n v="0"/>
    <n v="0"/>
    <m/>
  </r>
  <r>
    <x v="0"/>
    <d v="2006-06-29T00:00:00"/>
    <x v="11"/>
    <n v="100"/>
    <n v="9"/>
    <n v="0"/>
    <n v="0"/>
    <n v="0"/>
    <n v="0"/>
    <n v="0"/>
    <m/>
  </r>
  <r>
    <x v="0"/>
    <d v="2006-06-23T00:00:00"/>
    <x v="11"/>
    <n v="100"/>
    <n v="2"/>
    <n v="0"/>
    <n v="0"/>
    <n v="0"/>
    <n v="0"/>
    <n v="0"/>
    <m/>
  </r>
  <r>
    <x v="0"/>
    <d v="2005-08-31T00:00:00"/>
    <x v="12"/>
    <n v="100"/>
    <n v="0"/>
    <n v="0"/>
    <n v="0"/>
    <n v="1"/>
    <n v="0"/>
    <n v="0"/>
    <m/>
  </r>
  <r>
    <x v="0"/>
    <d v="2005-08-23T00:00:00"/>
    <x v="12"/>
    <n v="100"/>
    <n v="14"/>
    <n v="0"/>
    <n v="0"/>
    <n v="0"/>
    <n v="0"/>
    <n v="0"/>
    <m/>
  </r>
  <r>
    <x v="0"/>
    <d v="2005-08-20T00:00:00"/>
    <x v="12"/>
    <n v="100"/>
    <n v="15"/>
    <n v="1"/>
    <n v="1"/>
    <n v="0"/>
    <n v="0"/>
    <n v="0"/>
    <m/>
  </r>
  <r>
    <x v="0"/>
    <d v="2005-08-11T00:00:00"/>
    <x v="12"/>
    <n v="100"/>
    <n v="44"/>
    <n v="0"/>
    <n v="0"/>
    <n v="0"/>
    <n v="0"/>
    <n v="0"/>
    <m/>
  </r>
  <r>
    <x v="0"/>
    <d v="2005-08-03T00:00:00"/>
    <x v="12"/>
    <n v="100"/>
    <n v="14"/>
    <n v="3"/>
    <n v="1"/>
    <n v="0"/>
    <n v="0"/>
    <n v="0"/>
    <m/>
  </r>
  <r>
    <x v="0"/>
    <d v="2005-07-29T00:00:00"/>
    <x v="12"/>
    <n v="100"/>
    <n v="32"/>
    <n v="0"/>
    <n v="2"/>
    <n v="0"/>
    <n v="0"/>
    <n v="0"/>
    <m/>
  </r>
  <r>
    <x v="0"/>
    <d v="2005-07-22T00:00:00"/>
    <x v="12"/>
    <n v="100"/>
    <n v="32"/>
    <n v="4"/>
    <n v="2"/>
    <n v="0"/>
    <n v="1"/>
    <n v="1"/>
    <m/>
  </r>
  <r>
    <x v="0"/>
    <d v="2005-07-14T00:00:00"/>
    <x v="12"/>
    <n v="100"/>
    <n v="15"/>
    <n v="4"/>
    <n v="0"/>
    <n v="0"/>
    <n v="0"/>
    <n v="0"/>
    <m/>
  </r>
  <r>
    <x v="0"/>
    <d v="2005-07-07T00:00:00"/>
    <x v="12"/>
    <n v="100"/>
    <n v="16"/>
    <n v="1"/>
    <n v="0"/>
    <n v="2"/>
    <n v="0"/>
    <n v="0"/>
    <m/>
  </r>
  <r>
    <x v="0"/>
    <d v="2003-08-26T00:00:00"/>
    <x v="13"/>
    <n v="100"/>
    <n v="8"/>
    <n v="5"/>
    <n v="0"/>
    <n v="0"/>
    <n v="0"/>
    <n v="0"/>
    <m/>
  </r>
  <r>
    <x v="0"/>
    <d v="2003-08-20T00:00:00"/>
    <x v="13"/>
    <n v="100"/>
    <n v="17"/>
    <n v="4"/>
    <n v="0"/>
    <n v="0"/>
    <n v="0"/>
    <n v="0"/>
    <m/>
  </r>
  <r>
    <x v="0"/>
    <d v="2003-08-13T00:00:00"/>
    <x v="13"/>
    <n v="100"/>
    <n v="19"/>
    <n v="4"/>
    <n v="2"/>
    <n v="0"/>
    <n v="0"/>
    <n v="0"/>
    <m/>
  </r>
  <r>
    <x v="0"/>
    <d v="2003-08-06T00:00:00"/>
    <x v="13"/>
    <n v="100"/>
    <n v="29"/>
    <n v="10"/>
    <n v="4"/>
    <n v="0"/>
    <n v="0"/>
    <n v="0"/>
    <m/>
  </r>
  <r>
    <x v="0"/>
    <d v="2003-07-30T00:00:00"/>
    <x v="13"/>
    <n v="100"/>
    <n v="29"/>
    <n v="3"/>
    <n v="1"/>
    <n v="0"/>
    <n v="0"/>
    <n v="0"/>
    <m/>
  </r>
  <r>
    <x v="0"/>
    <d v="2003-07-26T00:00:00"/>
    <x v="13"/>
    <n v="100"/>
    <n v="52"/>
    <n v="4"/>
    <n v="2"/>
    <n v="0"/>
    <n v="0"/>
    <n v="0"/>
    <m/>
  </r>
  <r>
    <x v="0"/>
    <d v="2003-07-16T00:00:00"/>
    <x v="13"/>
    <n v="100"/>
    <n v="14"/>
    <n v="0"/>
    <n v="0"/>
    <n v="2"/>
    <n v="1"/>
    <n v="0"/>
    <m/>
  </r>
  <r>
    <x v="0"/>
    <d v="2003-07-09T00:00:00"/>
    <x v="13"/>
    <n v="100"/>
    <n v="14"/>
    <n v="0"/>
    <n v="0"/>
    <n v="2"/>
    <n v="1"/>
    <n v="0"/>
    <m/>
  </r>
  <r>
    <x v="0"/>
    <d v="2003-07-02T00:00:00"/>
    <x v="13"/>
    <n v="100"/>
    <n v="8"/>
    <n v="0"/>
    <n v="0"/>
    <n v="0"/>
    <n v="0"/>
    <n v="0"/>
    <m/>
  </r>
  <r>
    <x v="0"/>
    <d v="2003-06-25T00:00:00"/>
    <x v="13"/>
    <n v="100"/>
    <n v="6"/>
    <n v="4"/>
    <n v="5"/>
    <n v="0"/>
    <n v="0"/>
    <n v="0"/>
    <m/>
  </r>
  <r>
    <x v="0"/>
    <d v="2003-06-18T00:00:00"/>
    <x v="13"/>
    <n v="100"/>
    <n v="35"/>
    <n v="3"/>
    <n v="13"/>
    <n v="2"/>
    <n v="0"/>
    <n v="0"/>
    <m/>
  </r>
  <r>
    <x v="1"/>
    <d v="2021-06-02T00:00:00"/>
    <x v="14"/>
    <n v="100"/>
    <n v="0"/>
    <n v="0"/>
    <n v="0"/>
    <n v="0"/>
    <n v="0"/>
    <n v="0"/>
    <n v="0"/>
  </r>
  <r>
    <x v="1"/>
    <d v="2021-06-09T00:00:00"/>
    <x v="14"/>
    <n v="110"/>
    <n v="1"/>
    <n v="2"/>
    <n v="7"/>
    <n v="1"/>
    <n v="0"/>
    <n v="0"/>
    <n v="0"/>
  </r>
  <r>
    <x v="1"/>
    <d v="2021-06-16T00:00:00"/>
    <x v="14"/>
    <n v="104"/>
    <n v="3"/>
    <n v="0"/>
    <n v="1"/>
    <n v="3"/>
    <n v="1"/>
    <n v="1"/>
    <n v="0"/>
  </r>
  <r>
    <x v="1"/>
    <d v="2021-06-23T00:00:00"/>
    <x v="14"/>
    <n v="104"/>
    <n v="0"/>
    <n v="0"/>
    <n v="0"/>
    <n v="2"/>
    <n v="1"/>
    <n v="0"/>
    <n v="0"/>
  </r>
  <r>
    <x v="1"/>
    <d v="2021-06-30T00:00:00"/>
    <x v="14"/>
    <n v="100"/>
    <n v="8"/>
    <n v="1"/>
    <n v="0"/>
    <n v="0"/>
    <n v="0"/>
    <n v="1"/>
    <n v="0"/>
  </r>
  <r>
    <x v="1"/>
    <d v="2021-07-07T00:00:00"/>
    <x v="14"/>
    <n v="100"/>
    <n v="17"/>
    <n v="0"/>
    <n v="0"/>
    <n v="0"/>
    <n v="0"/>
    <n v="0"/>
    <n v="0"/>
  </r>
  <r>
    <x v="1"/>
    <d v="2021-07-21T00:00:00"/>
    <x v="14"/>
    <n v="100"/>
    <n v="47"/>
    <n v="1"/>
    <n v="0"/>
    <n v="0"/>
    <n v="0"/>
    <n v="0"/>
    <n v="0"/>
  </r>
  <r>
    <x v="1"/>
    <d v="2021-07-28T00:00:00"/>
    <x v="14"/>
    <n v="100"/>
    <n v="9"/>
    <n v="0"/>
    <n v="0"/>
    <n v="0"/>
    <n v="0"/>
    <n v="0"/>
    <n v="0"/>
  </r>
  <r>
    <x v="1"/>
    <d v="2021-08-04T00:00:00"/>
    <x v="14"/>
    <n v="100"/>
    <n v="10"/>
    <n v="0"/>
    <n v="0"/>
    <n v="0"/>
    <n v="0"/>
    <n v="0"/>
    <n v="0"/>
  </r>
  <r>
    <x v="1"/>
    <d v="2021-08-11T00:00:00"/>
    <x v="14"/>
    <n v="100"/>
    <n v="5"/>
    <n v="0"/>
    <n v="0"/>
    <n v="0"/>
    <n v="0"/>
    <n v="0"/>
    <n v="0"/>
  </r>
  <r>
    <x v="1"/>
    <d v="2021-08-18T00:00:00"/>
    <x v="14"/>
    <n v="100"/>
    <n v="7"/>
    <n v="0"/>
    <n v="0"/>
    <n v="0"/>
    <n v="0"/>
    <n v="0"/>
    <n v="0"/>
  </r>
  <r>
    <x v="2"/>
    <d v="2021-06-01T00:00:00"/>
    <x v="14"/>
    <n v="80"/>
    <n v="4"/>
    <n v="0"/>
    <n v="1"/>
    <n v="0"/>
    <n v="0"/>
    <n v="0"/>
    <n v="0"/>
  </r>
  <r>
    <x v="2"/>
    <d v="2021-06-08T00:00:00"/>
    <x v="14"/>
    <n v="105"/>
    <n v="15"/>
    <n v="0"/>
    <n v="0"/>
    <n v="0"/>
    <n v="0"/>
    <n v="0"/>
    <n v="0"/>
  </r>
  <r>
    <x v="2"/>
    <d v="2021-06-15T00:00:00"/>
    <x v="14"/>
    <n v="106"/>
    <n v="6"/>
    <n v="0"/>
    <n v="0"/>
    <n v="0"/>
    <n v="0"/>
    <n v="0"/>
    <n v="0"/>
  </r>
  <r>
    <x v="2"/>
    <d v="2021-06-22T00:00:00"/>
    <x v="14"/>
    <n v="101"/>
    <n v="9"/>
    <n v="0"/>
    <n v="0"/>
    <n v="0"/>
    <n v="0"/>
    <n v="0"/>
    <n v="0"/>
  </r>
  <r>
    <x v="2"/>
    <d v="2021-06-29T00:00:00"/>
    <x v="14"/>
    <n v="100"/>
    <n v="9"/>
    <n v="0"/>
    <n v="0"/>
    <n v="0"/>
    <n v="0"/>
    <n v="0"/>
    <n v="0"/>
  </r>
  <r>
    <x v="2"/>
    <d v="2021-07-06T00:00:00"/>
    <x v="14"/>
    <n v="108"/>
    <n v="8"/>
    <n v="1"/>
    <n v="0"/>
    <n v="0"/>
    <n v="0"/>
    <n v="0"/>
    <n v="0"/>
  </r>
  <r>
    <x v="2"/>
    <d v="2021-07-13T00:00:00"/>
    <x v="14"/>
    <n v="100"/>
    <n v="64"/>
    <n v="0"/>
    <n v="0"/>
    <n v="0"/>
    <n v="0"/>
    <n v="0"/>
    <n v="0"/>
  </r>
  <r>
    <x v="2"/>
    <d v="2021-07-20T00:00:00"/>
    <x v="14"/>
    <n v="100"/>
    <n v="7"/>
    <n v="0"/>
    <n v="0"/>
    <n v="0"/>
    <n v="0"/>
    <n v="0"/>
    <n v="0"/>
  </r>
  <r>
    <x v="2"/>
    <d v="2021-07-27T00:00:00"/>
    <x v="14"/>
    <n v="102"/>
    <n v="31"/>
    <n v="0"/>
    <n v="0"/>
    <n v="0"/>
    <n v="0"/>
    <n v="0"/>
    <n v="0"/>
  </r>
  <r>
    <x v="2"/>
    <d v="2021-08-03T00:00:00"/>
    <x v="14"/>
    <n v="103"/>
    <n v="35"/>
    <n v="0"/>
    <n v="0"/>
    <n v="0"/>
    <n v="0"/>
    <n v="0"/>
    <n v="0"/>
  </r>
  <r>
    <x v="2"/>
    <d v="2021-08-10T00:00:00"/>
    <x v="14"/>
    <n v="100"/>
    <n v="5"/>
    <n v="0"/>
    <n v="0"/>
    <n v="0"/>
    <n v="0"/>
    <n v="0"/>
    <n v="0"/>
  </r>
  <r>
    <x v="2"/>
    <d v="2021-08-17T00:00:00"/>
    <x v="14"/>
    <n v="100"/>
    <n v="4"/>
    <n v="0"/>
    <n v="0"/>
    <n v="0"/>
    <n v="0"/>
    <n v="0"/>
    <n v="0"/>
  </r>
  <r>
    <x v="0"/>
    <d v="2021-06-17T00:00:00"/>
    <x v="14"/>
    <n v="76"/>
    <n v="0"/>
    <n v="0"/>
    <n v="0"/>
    <n v="0"/>
    <n v="1"/>
    <n v="0"/>
    <n v="0"/>
  </r>
  <r>
    <x v="0"/>
    <d v="2021-07-01T00:00:00"/>
    <x v="14"/>
    <n v="112"/>
    <n v="42"/>
    <n v="0"/>
    <n v="0"/>
    <n v="0"/>
    <n v="0"/>
    <n v="0"/>
    <n v="0"/>
  </r>
  <r>
    <x v="0"/>
    <d v="2021-07-08T00:00:00"/>
    <x v="14"/>
    <n v="110"/>
    <n v="28"/>
    <n v="3"/>
    <n v="4"/>
    <n v="0"/>
    <n v="0"/>
    <n v="0"/>
    <n v="0"/>
  </r>
  <r>
    <x v="0"/>
    <d v="2021-07-15T00:00:00"/>
    <x v="14"/>
    <n v="100"/>
    <n v="56"/>
    <n v="1"/>
    <n v="2"/>
    <n v="1"/>
    <n v="0"/>
    <n v="0"/>
    <n v="0"/>
  </r>
  <r>
    <x v="0"/>
    <d v="2021-08-05T00:00:00"/>
    <x v="14"/>
    <n v="108"/>
    <n v="10"/>
    <n v="0"/>
    <n v="0"/>
    <n v="0"/>
    <n v="0"/>
    <n v="0"/>
    <n v="0"/>
  </r>
  <r>
    <x v="0"/>
    <d v="2021-08-12T00:00:00"/>
    <x v="14"/>
    <n v="100"/>
    <n v="11"/>
    <n v="0"/>
    <n v="0"/>
    <n v="0"/>
    <n v="0"/>
    <n v="0"/>
    <n v="0"/>
  </r>
  <r>
    <x v="0"/>
    <d v="2021-08-19T00:00:00"/>
    <x v="14"/>
    <n v="100"/>
    <n v="4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analysis" cacheId="15" applyNumberFormats="0" applyBorderFormats="0" applyFontFormats="0" applyPatternFormats="0" applyAlignmentFormats="0" applyWidthHeightFormats="0" dataCaption="" updatedVersion="8" compact="0" compactData="0">
  <location ref="A3:E20" firstHeaderRow="1" firstDataRow="2" firstDataCol="1"/>
  <pivotFields count="11">
    <pivotField name="Branch" axis="axisCol" compact="0" outline="0" multipleItemSelectionAllowed="1" showAll="0" sortType="ascending">
      <items count="4">
        <item x="2"/>
        <item x="0"/>
        <item x="1"/>
        <item t="default"/>
      </items>
    </pivotField>
    <pivotField name="Date" compact="0" numFmtId="14" outline="0" multipleItemSelectionAllowed="1" showAll="0"/>
    <pivotField name="Year" axis="axisRow" compact="0" outline="0" multipleItemSelectionAllowed="1" showAll="0" sortType="ascending">
      <items count="16"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4"/>
        <item t="default"/>
      </items>
    </pivotField>
    <pivotField name="# of Milkweeds" compact="0" outline="0" multipleItemSelectionAllowed="1" showAll="0"/>
    <pivotField name="Eggs" dataField="1" compact="0" outline="0" multipleItemSelectionAllowed="1" showAll="0"/>
    <pivotField name="Firsts" compact="0" outline="0" multipleItemSelectionAllowed="1" showAll="0"/>
    <pivotField name="Seconds" compact="0" outline="0" multipleItemSelectionAllowed="1" showAll="0"/>
    <pivotField name="Thirds" compact="0" outline="0" multipleItemSelectionAllowed="1" showAll="0"/>
    <pivotField name="Fourths" compact="0" outline="0" multipleItemSelectionAllowed="1" showAll="0"/>
    <pivotField name="Fifths" compact="0" outline="0" multipleItemSelectionAllowed="1" showAll="0"/>
    <pivotField name="Live Pupae" compact="0" outline="0" multipleItemSelectionAllowed="1" showAll="0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Eggs" fld="4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MV" cacheId="10" applyNumberFormats="0" applyBorderFormats="0" applyFontFormats="0" applyPatternFormats="0" applyAlignmentFormats="0" applyWidthHeightFormats="0" dataCaption="" updatedVersion="8" compact="0" compactData="0">
  <location ref="T3:T12" firstHeaderRow="1" firstDataRow="1" firstDataCol="1"/>
  <pivotFields count="13">
    <pivotField name="Branch" compact="0" outline="0" multipleItemSelectionAllowed="1" showAll="0"/>
    <pivotField name="Date" compact="0" numFmtId="14" outline="0" multipleItemSelectionAllowed="1" showAll="0"/>
    <pivotField name="Year" axis="axisRow" compact="0" outline="0" multipleItemSelectionAllowed="1" showAll="0" sortType="ascending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ame="# of Milkweeds" compact="0" outline="0" multipleItemSelectionAllowed="1" showAll="0"/>
    <pivotField name="Eggs" compact="0" outline="0" multipleItemSelectionAllowed="1" showAll="0"/>
    <pivotField name="Firsts" compact="0" outline="0" multipleItemSelectionAllowed="1" showAll="0"/>
    <pivotField name="Seconds" compact="0" outline="0" multipleItemSelectionAllowed="1" showAll="0"/>
    <pivotField name="Thirds" compact="0" outline="0" multipleItemSelectionAllowed="1" showAll="0"/>
    <pivotField name="Fourths" compact="0" outline="0" multipleItemSelectionAllowed="1" showAll="0"/>
    <pivotField name="Fifths" compact="0" outline="0" multipleItemSelectionAllowed="1" showAll="0"/>
    <pivotField name="Live Pupae" compact="0" outline="0" multipleItemSelectionAllowed="1" showAll="0"/>
    <pivotField name="Live adult females" compact="0" outline="0" multipleItemSelectionAllowed="1" showAll="0"/>
    <pivotField name="Live Adult Unkowns" compact="0" outline="0" multipleItemSelectionAllowed="1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MV 2" cacheId="6" applyNumberFormats="0" applyBorderFormats="0" applyFontFormats="0" applyPatternFormats="0" applyAlignmentFormats="0" applyWidthHeightFormats="0" dataCaption="" updatedVersion="8" compact="0" compactData="0">
  <location ref="W3:X12" firstHeaderRow="1" firstDataRow="1" firstDataCol="1"/>
  <pivotFields count="14">
    <pivotField name="Branch" compact="0" outline="0" multipleItemSelectionAllowed="1" showAll="0"/>
    <pivotField name="Date" compact="0" numFmtId="14" outline="0" multipleItemSelectionAllowed="1" showAll="0"/>
    <pivotField name="Year" axis="axisRow" compact="0" outline="0" multipleItemSelectionAllowed="1" showAll="0" sortType="ascending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ame="# of Milkweeds" compact="0" outline="0" multipleItemSelectionAllowed="1" showAll="0"/>
    <pivotField name="Eggs" compact="0" outline="0" multipleItemSelectionAllowed="1" showAll="0"/>
    <pivotField name="Firsts" compact="0" outline="0" multipleItemSelectionAllowed="1" showAll="0"/>
    <pivotField name="Seconds" compact="0" outline="0" multipleItemSelectionAllowed="1" showAll="0"/>
    <pivotField name="Thirds" compact="0" outline="0" multipleItemSelectionAllowed="1" showAll="0"/>
    <pivotField name="Fourths" compact="0" outline="0" multipleItemSelectionAllowed="1" showAll="0"/>
    <pivotField name="Fifths" compact="0" outline="0" multipleItemSelectionAllowed="1" showAll="0"/>
    <pivotField name="Live Pupae" compact="0" outline="0" multipleItemSelectionAllowed="1" showAll="0"/>
    <pivotField name="Live adult females" compact="0" outline="0" multipleItemSelectionAllowed="1" showAll="0"/>
    <pivotField name="Live Adult Unkowns" compact="0" outline="0" multipleItemSelectionAllowed="1" showAll="0"/>
    <pivotField name="Sum of instars" dataField="1" compact="0" outline="0" multipleItemSelectionAllowed="1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um of instars" fld="1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8.6640625" customWidth="1"/>
    <col min="2" max="2" width="11.5" customWidth="1"/>
    <col min="3" max="3" width="9.5" customWidth="1"/>
    <col min="4" max="4" width="12" customWidth="1"/>
    <col min="5" max="14" width="9.5" customWidth="1"/>
    <col min="15" max="15" width="11.83203125" customWidth="1"/>
    <col min="16" max="16" width="9.83203125" customWidth="1"/>
    <col min="17" max="17" width="9.5" customWidth="1"/>
    <col min="18" max="26" width="8.6640625" customWidth="1"/>
  </cols>
  <sheetData>
    <row r="1" spans="1:17" ht="32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</row>
    <row r="2" spans="1:17" x14ac:dyDescent="0.2">
      <c r="A2" s="5" t="s">
        <v>17</v>
      </c>
      <c r="B2" s="6">
        <v>43699</v>
      </c>
      <c r="C2" s="7">
        <f t="shared" ref="C2:C256" si="0">YEAR(B2)</f>
        <v>2019</v>
      </c>
      <c r="D2" s="5">
        <v>106</v>
      </c>
      <c r="E2" s="5">
        <v>6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Q2" s="8"/>
    </row>
    <row r="3" spans="1:17" x14ac:dyDescent="0.2">
      <c r="A3" s="5" t="s">
        <v>18</v>
      </c>
      <c r="B3" s="6">
        <v>43698</v>
      </c>
      <c r="C3" s="7">
        <f t="shared" si="0"/>
        <v>2019</v>
      </c>
      <c r="D3" s="5">
        <v>96</v>
      </c>
      <c r="E3" s="5">
        <v>2</v>
      </c>
      <c r="F3" s="5">
        <v>2</v>
      </c>
      <c r="G3" s="5">
        <v>2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1</v>
      </c>
      <c r="Q3" s="8"/>
    </row>
    <row r="4" spans="1:17" ht="16" x14ac:dyDescent="0.2">
      <c r="A4" s="5" t="s">
        <v>19</v>
      </c>
      <c r="B4" s="6">
        <v>43697</v>
      </c>
      <c r="C4" s="7">
        <f t="shared" si="0"/>
        <v>2019</v>
      </c>
      <c r="D4" s="1">
        <v>107</v>
      </c>
      <c r="E4" s="1">
        <v>9</v>
      </c>
      <c r="F4" s="1">
        <v>1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1</v>
      </c>
      <c r="N4" s="1">
        <v>0</v>
      </c>
      <c r="Q4" s="8"/>
    </row>
    <row r="5" spans="1:17" x14ac:dyDescent="0.2">
      <c r="A5" s="5" t="s">
        <v>17</v>
      </c>
      <c r="B5" s="6">
        <v>43692</v>
      </c>
      <c r="C5" s="7">
        <f t="shared" si="0"/>
        <v>2019</v>
      </c>
      <c r="D5" s="5">
        <v>110</v>
      </c>
      <c r="E5" s="5">
        <v>18</v>
      </c>
      <c r="F5" s="5">
        <v>4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2</v>
      </c>
      <c r="M5" s="5">
        <v>2</v>
      </c>
      <c r="N5" s="5">
        <v>6</v>
      </c>
      <c r="Q5" s="8"/>
    </row>
    <row r="6" spans="1:17" x14ac:dyDescent="0.2">
      <c r="A6" s="5" t="s">
        <v>18</v>
      </c>
      <c r="B6" s="6">
        <v>43691</v>
      </c>
      <c r="C6" s="7">
        <f t="shared" si="0"/>
        <v>2019</v>
      </c>
      <c r="D6" s="5">
        <v>101</v>
      </c>
      <c r="E6" s="5">
        <v>25</v>
      </c>
      <c r="F6" s="5">
        <v>2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1</v>
      </c>
      <c r="N6" s="5">
        <v>0</v>
      </c>
      <c r="Q6" s="8"/>
    </row>
    <row r="7" spans="1:17" ht="16" x14ac:dyDescent="0.2">
      <c r="A7" s="5" t="s">
        <v>19</v>
      </c>
      <c r="B7" s="6">
        <v>43690</v>
      </c>
      <c r="C7" s="7">
        <f t="shared" si="0"/>
        <v>2019</v>
      </c>
      <c r="D7" s="1">
        <v>104</v>
      </c>
      <c r="E7" s="1">
        <v>15</v>
      </c>
      <c r="F7" s="1">
        <v>5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Q7" s="8"/>
    </row>
    <row r="8" spans="1:17" x14ac:dyDescent="0.2">
      <c r="A8" s="5" t="s">
        <v>17</v>
      </c>
      <c r="B8" s="6">
        <v>43685</v>
      </c>
      <c r="C8" s="7">
        <f t="shared" si="0"/>
        <v>2019</v>
      </c>
      <c r="D8" s="5">
        <v>102</v>
      </c>
      <c r="E8" s="5">
        <v>29</v>
      </c>
      <c r="F8" s="5">
        <v>6</v>
      </c>
      <c r="G8" s="5">
        <v>2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Q8" s="8"/>
    </row>
    <row r="9" spans="1:17" x14ac:dyDescent="0.2">
      <c r="A9" s="5" t="s">
        <v>18</v>
      </c>
      <c r="B9" s="6">
        <v>43684</v>
      </c>
      <c r="C9" s="7">
        <f t="shared" si="0"/>
        <v>2019</v>
      </c>
      <c r="D9" s="5">
        <v>115</v>
      </c>
      <c r="E9" s="5">
        <v>84</v>
      </c>
      <c r="F9" s="5">
        <v>7</v>
      </c>
      <c r="G9" s="5">
        <v>0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7</v>
      </c>
      <c r="Q9" s="8"/>
    </row>
    <row r="10" spans="1:17" ht="16" x14ac:dyDescent="0.2">
      <c r="A10" s="5" t="s">
        <v>19</v>
      </c>
      <c r="B10" s="6">
        <v>43683</v>
      </c>
      <c r="C10" s="7">
        <f t="shared" si="0"/>
        <v>2019</v>
      </c>
      <c r="D10" s="1">
        <v>106</v>
      </c>
      <c r="E10" s="1">
        <v>27</v>
      </c>
      <c r="F10" s="1">
        <v>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1</v>
      </c>
      <c r="M10" s="1">
        <v>0</v>
      </c>
      <c r="N10" s="1">
        <v>2</v>
      </c>
      <c r="Q10" s="8"/>
    </row>
    <row r="11" spans="1:17" x14ac:dyDescent="0.2">
      <c r="A11" s="5" t="s">
        <v>17</v>
      </c>
      <c r="B11" s="6">
        <v>43678</v>
      </c>
      <c r="C11" s="7">
        <f t="shared" si="0"/>
        <v>2019</v>
      </c>
      <c r="D11" s="5">
        <v>109</v>
      </c>
      <c r="E11" s="5">
        <v>28</v>
      </c>
      <c r="F11" s="5">
        <v>1</v>
      </c>
      <c r="G11" s="5">
        <v>1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2</v>
      </c>
      <c r="Q11" s="8"/>
    </row>
    <row r="12" spans="1:17" x14ac:dyDescent="0.2">
      <c r="A12" s="5" t="s">
        <v>18</v>
      </c>
      <c r="B12" s="6">
        <v>43677</v>
      </c>
      <c r="C12" s="7">
        <f t="shared" si="0"/>
        <v>2019</v>
      </c>
      <c r="D12" s="5">
        <v>100</v>
      </c>
      <c r="E12" s="5">
        <v>14</v>
      </c>
      <c r="F12" s="5">
        <v>17</v>
      </c>
      <c r="G12" s="5">
        <v>6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Q12" s="8"/>
    </row>
    <row r="13" spans="1:17" ht="16" x14ac:dyDescent="0.2">
      <c r="A13" s="5" t="s">
        <v>19</v>
      </c>
      <c r="B13" s="6">
        <v>43676</v>
      </c>
      <c r="C13" s="7">
        <f t="shared" si="0"/>
        <v>2019</v>
      </c>
      <c r="D13" s="1">
        <v>118</v>
      </c>
      <c r="E13" s="1">
        <v>50</v>
      </c>
      <c r="F13" s="1">
        <v>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2</v>
      </c>
      <c r="Q13" s="8"/>
    </row>
    <row r="14" spans="1:17" x14ac:dyDescent="0.2">
      <c r="A14" s="5" t="s">
        <v>17</v>
      </c>
      <c r="B14" s="6">
        <v>43671</v>
      </c>
      <c r="C14" s="7">
        <f t="shared" si="0"/>
        <v>2019</v>
      </c>
      <c r="D14" s="5">
        <v>106</v>
      </c>
      <c r="E14" s="5">
        <v>38</v>
      </c>
      <c r="F14" s="5">
        <v>0</v>
      </c>
      <c r="G14" s="5">
        <v>2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4</v>
      </c>
      <c r="Q14" s="8"/>
    </row>
    <row r="15" spans="1:17" x14ac:dyDescent="0.2">
      <c r="A15" s="5" t="s">
        <v>18</v>
      </c>
      <c r="B15" s="6">
        <v>43670</v>
      </c>
      <c r="C15" s="7">
        <f t="shared" si="0"/>
        <v>2019</v>
      </c>
      <c r="D15" s="5">
        <v>110</v>
      </c>
      <c r="E15" s="5">
        <v>71</v>
      </c>
      <c r="F15" s="5">
        <v>1</v>
      </c>
      <c r="G15" s="5">
        <v>3</v>
      </c>
      <c r="H15" s="5">
        <v>2</v>
      </c>
      <c r="I15" s="5">
        <v>1</v>
      </c>
      <c r="J15" s="5">
        <v>0</v>
      </c>
      <c r="K15" s="5">
        <v>0</v>
      </c>
      <c r="L15" s="5">
        <v>1</v>
      </c>
      <c r="M15" s="5">
        <v>0</v>
      </c>
      <c r="N15" s="5">
        <v>2</v>
      </c>
      <c r="Q15" s="8"/>
    </row>
    <row r="16" spans="1:17" ht="16" x14ac:dyDescent="0.2">
      <c r="A16" s="5" t="s">
        <v>19</v>
      </c>
      <c r="B16" s="6">
        <v>43669</v>
      </c>
      <c r="C16" s="7">
        <f t="shared" si="0"/>
        <v>2019</v>
      </c>
      <c r="D16" s="1">
        <v>104</v>
      </c>
      <c r="E16" s="1">
        <v>65</v>
      </c>
      <c r="F16" s="1">
        <v>1</v>
      </c>
      <c r="G16" s="1">
        <v>3</v>
      </c>
      <c r="H16" s="1">
        <v>3</v>
      </c>
      <c r="I16" s="1">
        <v>0</v>
      </c>
      <c r="J16" s="1">
        <v>0</v>
      </c>
      <c r="K16" s="1">
        <v>0</v>
      </c>
      <c r="L16" s="1">
        <v>2</v>
      </c>
      <c r="M16" s="1">
        <v>0</v>
      </c>
      <c r="N16" s="1">
        <v>4</v>
      </c>
      <c r="Q16" s="8"/>
    </row>
    <row r="17" spans="1:17" x14ac:dyDescent="0.2">
      <c r="A17" s="5" t="s">
        <v>18</v>
      </c>
      <c r="B17" s="6">
        <v>43663</v>
      </c>
      <c r="C17" s="7">
        <f t="shared" si="0"/>
        <v>2019</v>
      </c>
      <c r="D17" s="5">
        <v>99</v>
      </c>
      <c r="E17" s="5">
        <v>54</v>
      </c>
      <c r="F17" s="5">
        <v>1</v>
      </c>
      <c r="G17" s="5">
        <v>4</v>
      </c>
      <c r="H17" s="5">
        <v>1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  <c r="Q17" s="8"/>
    </row>
    <row r="18" spans="1:17" ht="16" x14ac:dyDescent="0.2">
      <c r="A18" s="5" t="s">
        <v>19</v>
      </c>
      <c r="B18" s="6">
        <v>43662</v>
      </c>
      <c r="C18" s="7">
        <f t="shared" si="0"/>
        <v>2019</v>
      </c>
      <c r="D18" s="1">
        <v>103</v>
      </c>
      <c r="E18" s="1">
        <v>28</v>
      </c>
      <c r="F18" s="1">
        <v>0</v>
      </c>
      <c r="G18" s="1">
        <v>9</v>
      </c>
      <c r="H18" s="1">
        <v>4</v>
      </c>
      <c r="I18" s="1">
        <v>0</v>
      </c>
      <c r="J18" s="1">
        <v>2</v>
      </c>
      <c r="K18" s="1">
        <v>0</v>
      </c>
      <c r="L18" s="1">
        <v>0</v>
      </c>
      <c r="M18" s="1">
        <v>0</v>
      </c>
      <c r="N18" s="1">
        <v>2</v>
      </c>
      <c r="Q18" s="8"/>
    </row>
    <row r="19" spans="1:17" x14ac:dyDescent="0.2">
      <c r="A19" s="5" t="s">
        <v>17</v>
      </c>
      <c r="B19" s="6">
        <v>43657</v>
      </c>
      <c r="C19" s="7">
        <f t="shared" si="0"/>
        <v>2019</v>
      </c>
      <c r="D19" s="5">
        <v>101</v>
      </c>
      <c r="E19" s="5">
        <v>22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3</v>
      </c>
      <c r="Q19" s="8"/>
    </row>
    <row r="20" spans="1:17" x14ac:dyDescent="0.2">
      <c r="A20" s="5" t="s">
        <v>18</v>
      </c>
      <c r="B20" s="6">
        <v>43656</v>
      </c>
      <c r="C20" s="7">
        <f t="shared" si="0"/>
        <v>2019</v>
      </c>
      <c r="D20" s="5">
        <v>100</v>
      </c>
      <c r="E20" s="5">
        <v>39</v>
      </c>
      <c r="F20" s="5">
        <v>0</v>
      </c>
      <c r="G20" s="5">
        <v>4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Q20" s="8"/>
    </row>
    <row r="21" spans="1:17" ht="15.75" customHeight="1" x14ac:dyDescent="0.2">
      <c r="A21" s="5" t="s">
        <v>19</v>
      </c>
      <c r="B21" s="6">
        <v>43655</v>
      </c>
      <c r="C21" s="7">
        <f t="shared" si="0"/>
        <v>2019</v>
      </c>
      <c r="D21" s="1">
        <v>106</v>
      </c>
      <c r="E21" s="1">
        <v>29</v>
      </c>
      <c r="F21" s="1">
        <v>0</v>
      </c>
      <c r="G21" s="1">
        <v>0</v>
      </c>
      <c r="H21" s="1">
        <v>1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4</v>
      </c>
      <c r="Q21" s="8"/>
    </row>
    <row r="22" spans="1:17" ht="15.75" customHeight="1" x14ac:dyDescent="0.2">
      <c r="A22" s="5" t="s">
        <v>17</v>
      </c>
      <c r="B22" s="6">
        <v>43650</v>
      </c>
      <c r="C22" s="7">
        <f t="shared" si="0"/>
        <v>2019</v>
      </c>
      <c r="D22" s="5">
        <v>101</v>
      </c>
      <c r="E22" s="5">
        <v>35</v>
      </c>
      <c r="F22" s="5">
        <v>1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2</v>
      </c>
      <c r="M22" s="5">
        <v>0</v>
      </c>
      <c r="N22" s="5">
        <v>5</v>
      </c>
      <c r="Q22" s="8"/>
    </row>
    <row r="23" spans="1:17" ht="15.75" customHeight="1" x14ac:dyDescent="0.2">
      <c r="A23" s="5" t="s">
        <v>18</v>
      </c>
      <c r="B23" s="6">
        <v>43649</v>
      </c>
      <c r="C23" s="7">
        <f t="shared" si="0"/>
        <v>2019</v>
      </c>
      <c r="D23" s="5">
        <v>91</v>
      </c>
      <c r="E23" s="5">
        <v>34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Q23" s="8"/>
    </row>
    <row r="24" spans="1:17" ht="15.75" customHeight="1" x14ac:dyDescent="0.2">
      <c r="A24" s="5" t="s">
        <v>19</v>
      </c>
      <c r="B24" s="6">
        <v>43648</v>
      </c>
      <c r="C24" s="7">
        <f t="shared" si="0"/>
        <v>2019</v>
      </c>
      <c r="D24" s="1">
        <v>97</v>
      </c>
      <c r="E24" s="1">
        <v>13</v>
      </c>
      <c r="F24" s="1">
        <v>0</v>
      </c>
      <c r="G24" s="1">
        <v>0</v>
      </c>
      <c r="H24" s="1">
        <v>0</v>
      </c>
      <c r="I24" s="1">
        <v>2</v>
      </c>
      <c r="J24" s="1">
        <v>0</v>
      </c>
      <c r="K24" s="1">
        <v>0</v>
      </c>
      <c r="L24" s="1">
        <v>0</v>
      </c>
      <c r="M24" s="1">
        <v>0</v>
      </c>
      <c r="N24" s="1">
        <v>4</v>
      </c>
      <c r="Q24" s="8"/>
    </row>
    <row r="25" spans="1:17" ht="15.75" customHeight="1" x14ac:dyDescent="0.2">
      <c r="A25" s="5" t="s">
        <v>19</v>
      </c>
      <c r="B25" s="6">
        <v>43641</v>
      </c>
      <c r="C25" s="7">
        <f t="shared" si="0"/>
        <v>2019</v>
      </c>
      <c r="D25" s="1">
        <v>147</v>
      </c>
      <c r="E25" s="1">
        <v>24</v>
      </c>
      <c r="F25" s="1">
        <v>0</v>
      </c>
      <c r="G25" s="1">
        <v>1</v>
      </c>
      <c r="H25" s="1">
        <v>0</v>
      </c>
      <c r="I25" s="1">
        <v>3</v>
      </c>
      <c r="J25" s="1">
        <v>1</v>
      </c>
      <c r="K25" s="1">
        <v>0</v>
      </c>
      <c r="L25" s="1">
        <v>1</v>
      </c>
      <c r="M25" s="1">
        <v>0</v>
      </c>
      <c r="N25" s="1">
        <v>2</v>
      </c>
      <c r="Q25" s="8"/>
    </row>
    <row r="26" spans="1:17" ht="15.75" customHeight="1" x14ac:dyDescent="0.2">
      <c r="A26" s="1" t="s">
        <v>17</v>
      </c>
      <c r="B26" s="6">
        <v>43629</v>
      </c>
      <c r="C26" s="7">
        <f t="shared" si="0"/>
        <v>2019</v>
      </c>
      <c r="D26" s="5">
        <v>108</v>
      </c>
      <c r="E26" s="5">
        <v>47</v>
      </c>
      <c r="F26" s="5">
        <v>29</v>
      </c>
      <c r="G26" s="5">
        <v>16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Q26" s="8"/>
    </row>
    <row r="27" spans="1:17" ht="15.75" customHeight="1" x14ac:dyDescent="0.2">
      <c r="A27" s="5" t="s">
        <v>18</v>
      </c>
      <c r="B27" s="6">
        <v>43628</v>
      </c>
      <c r="C27" s="7">
        <f t="shared" si="0"/>
        <v>2019</v>
      </c>
      <c r="D27" s="5">
        <v>100</v>
      </c>
      <c r="E27" s="5">
        <v>30</v>
      </c>
      <c r="F27" s="5">
        <v>16</v>
      </c>
      <c r="G27" s="5">
        <v>7</v>
      </c>
      <c r="H27" s="5">
        <v>4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Q27" s="8"/>
    </row>
    <row r="28" spans="1:17" ht="15.75" customHeight="1" x14ac:dyDescent="0.2">
      <c r="A28" s="5" t="s">
        <v>19</v>
      </c>
      <c r="B28" s="6">
        <v>43627</v>
      </c>
      <c r="C28" s="7">
        <f t="shared" si="0"/>
        <v>2019</v>
      </c>
      <c r="D28" s="1">
        <v>159</v>
      </c>
      <c r="E28" s="1">
        <v>29</v>
      </c>
      <c r="F28" s="1">
        <v>9</v>
      </c>
      <c r="G28" s="1">
        <v>6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Q28" s="8"/>
    </row>
    <row r="29" spans="1:17" ht="15.75" customHeight="1" x14ac:dyDescent="0.2">
      <c r="A29" s="5" t="s">
        <v>18</v>
      </c>
      <c r="B29" s="6">
        <v>43621</v>
      </c>
      <c r="C29" s="7">
        <f t="shared" si="0"/>
        <v>2019</v>
      </c>
      <c r="D29" s="5">
        <v>104</v>
      </c>
      <c r="E29" s="5">
        <v>106</v>
      </c>
      <c r="F29" s="5">
        <v>8</v>
      </c>
      <c r="G29" s="5">
        <v>1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3</v>
      </c>
      <c r="Q29" s="8"/>
    </row>
    <row r="30" spans="1:17" ht="15.75" customHeight="1" x14ac:dyDescent="0.2">
      <c r="A30" s="5" t="s">
        <v>17</v>
      </c>
      <c r="B30" s="6">
        <v>43335</v>
      </c>
      <c r="C30" s="7">
        <f t="shared" si="0"/>
        <v>2018</v>
      </c>
      <c r="D30" s="5">
        <v>114</v>
      </c>
      <c r="E30" s="5">
        <v>32</v>
      </c>
      <c r="F30" s="5">
        <v>1</v>
      </c>
      <c r="G30" s="5">
        <v>2</v>
      </c>
      <c r="H30" s="5">
        <v>0</v>
      </c>
      <c r="I30" s="5">
        <v>0</v>
      </c>
      <c r="J30" s="5">
        <v>0</v>
      </c>
      <c r="K30" s="5">
        <v>0</v>
      </c>
      <c r="L30" s="5">
        <v>2</v>
      </c>
      <c r="M30" s="5">
        <v>1</v>
      </c>
      <c r="N30" s="5">
        <v>6</v>
      </c>
      <c r="Q30" s="8"/>
    </row>
    <row r="31" spans="1:17" ht="15.75" customHeight="1" x14ac:dyDescent="0.2">
      <c r="A31" s="1" t="s">
        <v>19</v>
      </c>
      <c r="B31" s="6">
        <v>43333</v>
      </c>
      <c r="C31" s="7">
        <f t="shared" si="0"/>
        <v>2018</v>
      </c>
      <c r="D31" s="1">
        <v>104</v>
      </c>
      <c r="E31" s="1">
        <v>51</v>
      </c>
      <c r="F31" s="1">
        <v>1</v>
      </c>
      <c r="G31" s="1">
        <v>1</v>
      </c>
      <c r="H31" s="1">
        <v>2</v>
      </c>
      <c r="I31" s="1">
        <v>1</v>
      </c>
      <c r="J31" s="1">
        <v>1</v>
      </c>
      <c r="K31" s="1">
        <v>0</v>
      </c>
      <c r="L31" s="1">
        <v>2</v>
      </c>
      <c r="M31" s="1">
        <v>0</v>
      </c>
      <c r="N31" s="1">
        <v>3</v>
      </c>
      <c r="Q31" s="8"/>
    </row>
    <row r="32" spans="1:17" ht="15.75" customHeight="1" x14ac:dyDescent="0.2">
      <c r="A32" s="1" t="s">
        <v>18</v>
      </c>
      <c r="B32" s="6">
        <v>43332</v>
      </c>
      <c r="C32" s="7">
        <f t="shared" si="0"/>
        <v>2018</v>
      </c>
      <c r="D32" s="1">
        <v>113</v>
      </c>
      <c r="E32" s="1">
        <v>15</v>
      </c>
      <c r="F32" s="1">
        <v>2</v>
      </c>
      <c r="G32" s="1">
        <v>0</v>
      </c>
      <c r="H32" s="1">
        <v>1</v>
      </c>
      <c r="I32" s="1">
        <v>0</v>
      </c>
      <c r="J32" s="1">
        <v>1</v>
      </c>
      <c r="K32" s="1">
        <v>0</v>
      </c>
      <c r="L32" s="1">
        <v>0</v>
      </c>
      <c r="M32" s="1">
        <v>0</v>
      </c>
      <c r="N32" s="1">
        <v>1</v>
      </c>
      <c r="Q32" s="8"/>
    </row>
    <row r="33" spans="1:17" ht="15.75" customHeight="1" x14ac:dyDescent="0.2">
      <c r="A33" s="5" t="s">
        <v>17</v>
      </c>
      <c r="B33" s="6">
        <v>43328</v>
      </c>
      <c r="C33" s="7">
        <f t="shared" si="0"/>
        <v>2018</v>
      </c>
      <c r="D33" s="5">
        <v>108</v>
      </c>
      <c r="E33" s="5">
        <v>29</v>
      </c>
      <c r="F33" s="5">
        <v>6</v>
      </c>
      <c r="G33" s="5">
        <v>2</v>
      </c>
      <c r="H33" s="5">
        <v>0</v>
      </c>
      <c r="I33" s="5">
        <v>0</v>
      </c>
      <c r="J33" s="5">
        <v>1</v>
      </c>
      <c r="K33" s="5">
        <v>0</v>
      </c>
      <c r="L33" s="5">
        <v>0</v>
      </c>
      <c r="M33" s="5">
        <v>0</v>
      </c>
      <c r="N33" s="5">
        <v>5</v>
      </c>
      <c r="Q33" s="8"/>
    </row>
    <row r="34" spans="1:17" ht="15.75" customHeight="1" x14ac:dyDescent="0.2">
      <c r="A34" s="1" t="s">
        <v>19</v>
      </c>
      <c r="B34" s="6">
        <v>43326</v>
      </c>
      <c r="C34" s="7">
        <f t="shared" si="0"/>
        <v>2018</v>
      </c>
      <c r="D34" s="1">
        <v>105</v>
      </c>
      <c r="E34" s="1">
        <v>35</v>
      </c>
      <c r="F34" s="1">
        <v>12</v>
      </c>
      <c r="G34" s="1">
        <v>4</v>
      </c>
      <c r="H34" s="1">
        <v>2</v>
      </c>
      <c r="I34" s="1">
        <v>0</v>
      </c>
      <c r="J34" s="1">
        <v>1</v>
      </c>
      <c r="K34" s="1">
        <v>0</v>
      </c>
      <c r="L34" s="1">
        <v>0</v>
      </c>
      <c r="M34" s="1">
        <v>0</v>
      </c>
      <c r="N34" s="1">
        <v>0</v>
      </c>
      <c r="Q34" s="8"/>
    </row>
    <row r="35" spans="1:17" ht="15.75" customHeight="1" x14ac:dyDescent="0.2">
      <c r="A35" s="1" t="s">
        <v>18</v>
      </c>
      <c r="B35" s="6">
        <v>43325</v>
      </c>
      <c r="C35" s="7">
        <f t="shared" si="0"/>
        <v>2018</v>
      </c>
      <c r="D35" s="1">
        <v>105</v>
      </c>
      <c r="E35" s="1">
        <v>33</v>
      </c>
      <c r="F35" s="1">
        <v>3</v>
      </c>
      <c r="G35" s="1">
        <v>1</v>
      </c>
      <c r="H35" s="1">
        <v>0</v>
      </c>
      <c r="I35" s="1">
        <v>0</v>
      </c>
      <c r="J35" s="1">
        <v>0</v>
      </c>
      <c r="K35" s="1">
        <v>1</v>
      </c>
      <c r="L35" s="1">
        <v>1</v>
      </c>
      <c r="M35" s="1">
        <v>0</v>
      </c>
      <c r="N35" s="1">
        <v>1</v>
      </c>
      <c r="Q35" s="8"/>
    </row>
    <row r="36" spans="1:17" ht="15.75" customHeight="1" x14ac:dyDescent="0.2">
      <c r="A36" s="5" t="s">
        <v>17</v>
      </c>
      <c r="B36" s="6">
        <v>43314</v>
      </c>
      <c r="C36" s="7">
        <f t="shared" si="0"/>
        <v>2018</v>
      </c>
      <c r="D36" s="5">
        <v>103</v>
      </c>
      <c r="E36" s="5">
        <v>52</v>
      </c>
      <c r="F36" s="5">
        <v>2</v>
      </c>
      <c r="G36" s="5">
        <v>1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9</v>
      </c>
      <c r="N36" s="5">
        <v>4</v>
      </c>
      <c r="Q36" s="8"/>
    </row>
    <row r="37" spans="1:17" ht="15.75" customHeight="1" x14ac:dyDescent="0.2">
      <c r="A37" s="1" t="s">
        <v>19</v>
      </c>
      <c r="B37" s="6">
        <v>43312</v>
      </c>
      <c r="C37" s="7">
        <f t="shared" si="0"/>
        <v>2018</v>
      </c>
      <c r="D37" s="1">
        <v>106</v>
      </c>
      <c r="E37" s="1">
        <v>31</v>
      </c>
      <c r="F37" s="1">
        <v>0</v>
      </c>
      <c r="G37" s="1">
        <v>0</v>
      </c>
      <c r="H37" s="1">
        <v>0</v>
      </c>
      <c r="I37" s="1">
        <v>0</v>
      </c>
      <c r="J37" s="1">
        <v>1</v>
      </c>
      <c r="K37" s="1">
        <v>0</v>
      </c>
      <c r="L37" s="1">
        <v>0</v>
      </c>
      <c r="M37" s="1">
        <v>0</v>
      </c>
      <c r="N37" s="1">
        <v>0</v>
      </c>
      <c r="Q37" s="8"/>
    </row>
    <row r="38" spans="1:17" ht="15.75" customHeight="1" x14ac:dyDescent="0.2">
      <c r="A38" s="1" t="s">
        <v>18</v>
      </c>
      <c r="B38" s="6">
        <v>43311</v>
      </c>
      <c r="C38" s="7">
        <f t="shared" si="0"/>
        <v>2018</v>
      </c>
      <c r="D38" s="1">
        <v>100</v>
      </c>
      <c r="E38" s="1">
        <v>32</v>
      </c>
      <c r="F38" s="1">
        <v>0</v>
      </c>
      <c r="G38" s="1">
        <v>2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11</v>
      </c>
      <c r="Q38" s="8"/>
    </row>
    <row r="39" spans="1:17" ht="15.75" customHeight="1" x14ac:dyDescent="0.2">
      <c r="A39" s="5" t="s">
        <v>17</v>
      </c>
      <c r="B39" s="6">
        <v>43306</v>
      </c>
      <c r="C39" s="7">
        <f t="shared" si="0"/>
        <v>2018</v>
      </c>
      <c r="D39" s="5">
        <v>116</v>
      </c>
      <c r="E39" s="5">
        <v>17</v>
      </c>
      <c r="F39" s="5">
        <v>1</v>
      </c>
      <c r="G39" s="5">
        <v>0</v>
      </c>
      <c r="H39" s="5">
        <v>1</v>
      </c>
      <c r="I39" s="5">
        <v>1</v>
      </c>
      <c r="J39" s="5">
        <v>0</v>
      </c>
      <c r="K39" s="5">
        <v>0</v>
      </c>
      <c r="L39" s="5">
        <v>0</v>
      </c>
      <c r="M39" s="5">
        <v>2</v>
      </c>
      <c r="N39" s="5">
        <v>11</v>
      </c>
      <c r="Q39" s="8"/>
    </row>
    <row r="40" spans="1:17" ht="15.75" customHeight="1" x14ac:dyDescent="0.2">
      <c r="A40" s="1" t="s">
        <v>19</v>
      </c>
      <c r="B40" s="6">
        <v>43305</v>
      </c>
      <c r="C40" s="7">
        <f t="shared" si="0"/>
        <v>2018</v>
      </c>
      <c r="D40" s="1">
        <v>100</v>
      </c>
      <c r="E40" s="1">
        <v>3</v>
      </c>
      <c r="F40" s="1">
        <v>11</v>
      </c>
      <c r="G40" s="1">
        <v>2</v>
      </c>
      <c r="H40" s="1">
        <v>1</v>
      </c>
      <c r="I40" s="1">
        <v>0</v>
      </c>
      <c r="J40" s="1">
        <v>0</v>
      </c>
      <c r="K40" s="1">
        <v>0</v>
      </c>
      <c r="L40" s="1">
        <v>1</v>
      </c>
      <c r="M40" s="1">
        <v>0</v>
      </c>
      <c r="N40" s="1">
        <v>2</v>
      </c>
      <c r="Q40" s="8"/>
    </row>
    <row r="41" spans="1:17" ht="15.75" customHeight="1" x14ac:dyDescent="0.2">
      <c r="A41" s="1" t="s">
        <v>18</v>
      </c>
      <c r="B41" s="6">
        <v>43304</v>
      </c>
      <c r="C41" s="7">
        <f t="shared" si="0"/>
        <v>2018</v>
      </c>
      <c r="D41" s="1">
        <v>100</v>
      </c>
      <c r="E41" s="1">
        <v>6</v>
      </c>
      <c r="F41" s="1">
        <v>3</v>
      </c>
      <c r="G41" s="1">
        <v>0</v>
      </c>
      <c r="H41" s="1">
        <v>1</v>
      </c>
      <c r="I41" s="1">
        <v>1</v>
      </c>
      <c r="J41" s="1">
        <v>0</v>
      </c>
      <c r="K41" s="1">
        <v>0</v>
      </c>
      <c r="L41" s="1">
        <v>0</v>
      </c>
      <c r="M41" s="1">
        <v>0</v>
      </c>
      <c r="N41" s="1">
        <v>2</v>
      </c>
      <c r="Q41" s="8"/>
    </row>
    <row r="42" spans="1:17" ht="15.75" customHeight="1" x14ac:dyDescent="0.2">
      <c r="A42" s="5" t="s">
        <v>17</v>
      </c>
      <c r="B42" s="6">
        <v>43300</v>
      </c>
      <c r="C42" s="7">
        <f t="shared" si="0"/>
        <v>2018</v>
      </c>
      <c r="D42" s="5">
        <v>116</v>
      </c>
      <c r="E42" s="5">
        <v>46</v>
      </c>
      <c r="F42" s="5">
        <v>3</v>
      </c>
      <c r="G42" s="5">
        <v>1</v>
      </c>
      <c r="H42" s="5">
        <v>1</v>
      </c>
      <c r="I42" s="5">
        <v>0</v>
      </c>
      <c r="J42" s="5">
        <v>1</v>
      </c>
      <c r="K42" s="5">
        <v>0</v>
      </c>
      <c r="L42" s="5">
        <v>1</v>
      </c>
      <c r="M42" s="5">
        <v>1</v>
      </c>
      <c r="N42" s="5">
        <v>12</v>
      </c>
      <c r="Q42" s="8"/>
    </row>
    <row r="43" spans="1:17" ht="15.75" customHeight="1" x14ac:dyDescent="0.2">
      <c r="A43" s="1" t="s">
        <v>19</v>
      </c>
      <c r="B43" s="6">
        <v>43298</v>
      </c>
      <c r="C43" s="7">
        <f t="shared" si="0"/>
        <v>2018</v>
      </c>
      <c r="D43" s="1">
        <v>101</v>
      </c>
      <c r="E43" s="1">
        <v>11</v>
      </c>
      <c r="F43" s="1">
        <v>1</v>
      </c>
      <c r="G43" s="1">
        <v>0</v>
      </c>
      <c r="H43" s="1">
        <v>1</v>
      </c>
      <c r="I43" s="1">
        <v>0</v>
      </c>
      <c r="J43" s="1">
        <v>1</v>
      </c>
      <c r="K43" s="1">
        <v>0</v>
      </c>
      <c r="L43" s="1">
        <v>0</v>
      </c>
      <c r="M43" s="1">
        <v>0</v>
      </c>
      <c r="N43" s="1">
        <v>0</v>
      </c>
      <c r="Q43" s="8"/>
    </row>
    <row r="44" spans="1:17" ht="15.75" customHeight="1" x14ac:dyDescent="0.2">
      <c r="A44" s="1" t="s">
        <v>18</v>
      </c>
      <c r="B44" s="6">
        <v>43297</v>
      </c>
      <c r="C44" s="7">
        <f t="shared" si="0"/>
        <v>2018</v>
      </c>
      <c r="D44" s="1">
        <v>132</v>
      </c>
      <c r="E44" s="1">
        <v>61</v>
      </c>
      <c r="F44" s="1">
        <v>3</v>
      </c>
      <c r="G44" s="1">
        <v>4</v>
      </c>
      <c r="H44" s="1">
        <v>5</v>
      </c>
      <c r="I44" s="1">
        <v>4</v>
      </c>
      <c r="J44" s="1">
        <v>0</v>
      </c>
      <c r="K44" s="1">
        <v>0</v>
      </c>
      <c r="L44" s="1">
        <v>1</v>
      </c>
      <c r="M44" s="1">
        <v>1</v>
      </c>
      <c r="N44" s="1">
        <v>4</v>
      </c>
      <c r="Q44" s="8"/>
    </row>
    <row r="45" spans="1:17" ht="15.75" customHeight="1" x14ac:dyDescent="0.2">
      <c r="A45" s="5" t="s">
        <v>17</v>
      </c>
      <c r="B45" s="6">
        <v>43293</v>
      </c>
      <c r="C45" s="7">
        <f t="shared" si="0"/>
        <v>2018</v>
      </c>
      <c r="D45" s="5">
        <v>110</v>
      </c>
      <c r="E45" s="5">
        <v>31</v>
      </c>
      <c r="F45" s="5">
        <v>2</v>
      </c>
      <c r="G45" s="5">
        <v>3</v>
      </c>
      <c r="H45" s="5">
        <v>1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11</v>
      </c>
      <c r="Q45" s="8"/>
    </row>
    <row r="46" spans="1:17" ht="15.75" customHeight="1" x14ac:dyDescent="0.2">
      <c r="A46" s="1" t="s">
        <v>19</v>
      </c>
      <c r="B46" s="6">
        <v>43291</v>
      </c>
      <c r="C46" s="7">
        <f t="shared" si="0"/>
        <v>2018</v>
      </c>
      <c r="D46" s="1">
        <v>103</v>
      </c>
      <c r="E46" s="1">
        <v>10</v>
      </c>
      <c r="F46" s="1">
        <v>0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4</v>
      </c>
      <c r="Q46" s="8"/>
    </row>
    <row r="47" spans="1:17" ht="15.75" customHeight="1" x14ac:dyDescent="0.2">
      <c r="A47" s="1" t="s">
        <v>18</v>
      </c>
      <c r="B47" s="6">
        <v>43290</v>
      </c>
      <c r="C47" s="7">
        <f t="shared" si="0"/>
        <v>2018</v>
      </c>
      <c r="D47" s="1">
        <v>100</v>
      </c>
      <c r="E47" s="1">
        <v>25</v>
      </c>
      <c r="F47" s="1">
        <v>0</v>
      </c>
      <c r="G47" s="1">
        <v>2</v>
      </c>
      <c r="H47" s="1">
        <v>2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3</v>
      </c>
      <c r="Q47" s="8"/>
    </row>
    <row r="48" spans="1:17" ht="15.75" customHeight="1" x14ac:dyDescent="0.2">
      <c r="A48" s="5" t="s">
        <v>17</v>
      </c>
      <c r="B48" s="6">
        <v>43286</v>
      </c>
      <c r="C48" s="7">
        <f t="shared" si="0"/>
        <v>2018</v>
      </c>
      <c r="D48" s="5">
        <v>109</v>
      </c>
      <c r="E48" s="5">
        <v>53</v>
      </c>
      <c r="F48" s="5">
        <v>0</v>
      </c>
      <c r="G48" s="5">
        <v>2</v>
      </c>
      <c r="H48" s="5">
        <v>1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10</v>
      </c>
      <c r="Q48" s="8"/>
    </row>
    <row r="49" spans="1:17" ht="15.75" customHeight="1" x14ac:dyDescent="0.2">
      <c r="A49" s="1" t="s">
        <v>19</v>
      </c>
      <c r="B49" s="6">
        <v>43284</v>
      </c>
      <c r="C49" s="7">
        <f t="shared" si="0"/>
        <v>2018</v>
      </c>
      <c r="D49" s="1">
        <v>100</v>
      </c>
      <c r="E49" s="1">
        <v>12</v>
      </c>
      <c r="F49" s="1">
        <v>2</v>
      </c>
      <c r="G49" s="1">
        <v>2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5</v>
      </c>
      <c r="Q49" s="8"/>
    </row>
    <row r="50" spans="1:17" ht="15.75" customHeight="1" x14ac:dyDescent="0.2">
      <c r="A50" s="1" t="s">
        <v>18</v>
      </c>
      <c r="B50" s="6">
        <v>43283</v>
      </c>
      <c r="C50" s="7">
        <f t="shared" si="0"/>
        <v>2018</v>
      </c>
      <c r="D50" s="1">
        <v>100</v>
      </c>
      <c r="E50" s="1">
        <v>14</v>
      </c>
      <c r="F50" s="1">
        <v>1</v>
      </c>
      <c r="G50" s="1">
        <v>5</v>
      </c>
      <c r="H50" s="1">
        <v>2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1</v>
      </c>
      <c r="Q50" s="8"/>
    </row>
    <row r="51" spans="1:17" ht="15.75" customHeight="1" x14ac:dyDescent="0.2">
      <c r="A51" s="5" t="s">
        <v>17</v>
      </c>
      <c r="B51" s="6">
        <v>43279</v>
      </c>
      <c r="C51" s="7">
        <f t="shared" si="0"/>
        <v>2018</v>
      </c>
      <c r="D51" s="5">
        <v>101</v>
      </c>
      <c r="E51" s="5">
        <v>134</v>
      </c>
      <c r="F51" s="5">
        <v>9</v>
      </c>
      <c r="G51" s="5">
        <v>1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2</v>
      </c>
      <c r="Q51" s="8"/>
    </row>
    <row r="52" spans="1:17" ht="15.75" customHeight="1" x14ac:dyDescent="0.2">
      <c r="A52" s="1" t="s">
        <v>19</v>
      </c>
      <c r="B52" s="6">
        <v>43277</v>
      </c>
      <c r="C52" s="7">
        <f t="shared" si="0"/>
        <v>2018</v>
      </c>
      <c r="D52" s="1">
        <v>103</v>
      </c>
      <c r="E52" s="1">
        <v>34</v>
      </c>
      <c r="F52" s="1">
        <v>0</v>
      </c>
      <c r="G52" s="1">
        <v>2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4</v>
      </c>
      <c r="Q52" s="8"/>
    </row>
    <row r="53" spans="1:17" ht="15.75" customHeight="1" x14ac:dyDescent="0.2">
      <c r="A53" s="1" t="s">
        <v>18</v>
      </c>
      <c r="B53" s="6">
        <v>43276</v>
      </c>
      <c r="C53" s="7">
        <f t="shared" si="0"/>
        <v>2018</v>
      </c>
      <c r="D53" s="1">
        <v>102</v>
      </c>
      <c r="E53" s="1">
        <v>59</v>
      </c>
      <c r="F53" s="1">
        <v>1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2</v>
      </c>
      <c r="Q53" s="8"/>
    </row>
    <row r="54" spans="1:17" ht="15.75" customHeight="1" x14ac:dyDescent="0.2">
      <c r="A54" s="5" t="s">
        <v>17</v>
      </c>
      <c r="B54" s="6">
        <v>43272</v>
      </c>
      <c r="C54" s="7">
        <f t="shared" si="0"/>
        <v>2018</v>
      </c>
      <c r="D54" s="5">
        <v>128</v>
      </c>
      <c r="E54" s="5">
        <v>19</v>
      </c>
      <c r="F54" s="5">
        <v>1</v>
      </c>
      <c r="G54" s="5">
        <v>3</v>
      </c>
      <c r="H54" s="5">
        <v>0</v>
      </c>
      <c r="I54" s="5">
        <v>1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/>
      <c r="P54" s="5"/>
      <c r="Q54" s="8"/>
    </row>
    <row r="55" spans="1:17" ht="15.75" customHeight="1" x14ac:dyDescent="0.2">
      <c r="A55" s="1" t="s">
        <v>18</v>
      </c>
      <c r="B55" s="6">
        <v>43269</v>
      </c>
      <c r="C55" s="7">
        <f t="shared" si="0"/>
        <v>2018</v>
      </c>
      <c r="D55" s="1">
        <v>106</v>
      </c>
      <c r="E55" s="1">
        <v>26</v>
      </c>
      <c r="F55" s="1">
        <v>3</v>
      </c>
      <c r="G55" s="1">
        <v>0</v>
      </c>
      <c r="H55" s="1">
        <v>0</v>
      </c>
      <c r="I55" s="1">
        <v>0</v>
      </c>
      <c r="J55" s="1">
        <v>1</v>
      </c>
      <c r="K55" s="1">
        <v>0</v>
      </c>
      <c r="L55" s="1">
        <v>0</v>
      </c>
      <c r="M55" s="1">
        <v>0</v>
      </c>
      <c r="N55" s="1">
        <v>1</v>
      </c>
      <c r="Q55" s="8"/>
    </row>
    <row r="56" spans="1:17" ht="15.75" customHeight="1" x14ac:dyDescent="0.2">
      <c r="A56" s="1" t="s">
        <v>18</v>
      </c>
      <c r="B56" s="9">
        <v>42973</v>
      </c>
      <c r="C56" s="7">
        <f t="shared" si="0"/>
        <v>2017</v>
      </c>
      <c r="D56" s="7">
        <v>100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/>
      <c r="M56" s="7"/>
      <c r="N56" s="7"/>
      <c r="O56" s="7">
        <v>0</v>
      </c>
      <c r="P56" s="7">
        <v>1</v>
      </c>
      <c r="Q56" s="10">
        <v>42967</v>
      </c>
    </row>
    <row r="57" spans="1:17" ht="15.75" customHeight="1" x14ac:dyDescent="0.2">
      <c r="A57" s="1" t="s">
        <v>17</v>
      </c>
      <c r="B57" s="9">
        <v>42972</v>
      </c>
      <c r="C57" s="7">
        <f t="shared" si="0"/>
        <v>2017</v>
      </c>
      <c r="D57" s="7">
        <v>101</v>
      </c>
      <c r="E57" s="7">
        <v>3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/>
      <c r="M57" s="7"/>
      <c r="N57" s="7"/>
      <c r="O57" s="7">
        <v>0</v>
      </c>
      <c r="P57" s="7">
        <v>1</v>
      </c>
      <c r="Q57" s="10">
        <v>42967</v>
      </c>
    </row>
    <row r="58" spans="1:17" ht="15.75" customHeight="1" x14ac:dyDescent="0.2">
      <c r="A58" s="1" t="s">
        <v>17</v>
      </c>
      <c r="B58" s="9">
        <v>42964</v>
      </c>
      <c r="C58" s="7">
        <f t="shared" si="0"/>
        <v>2017</v>
      </c>
      <c r="D58" s="7">
        <v>109</v>
      </c>
      <c r="E58" s="7">
        <v>30</v>
      </c>
      <c r="F58" s="7">
        <v>1</v>
      </c>
      <c r="G58" s="7">
        <v>5</v>
      </c>
      <c r="H58" s="7">
        <v>4</v>
      </c>
      <c r="I58" s="7">
        <v>0</v>
      </c>
      <c r="J58" s="7">
        <v>1</v>
      </c>
      <c r="K58" s="7">
        <v>11</v>
      </c>
      <c r="L58" s="7"/>
      <c r="M58" s="7"/>
      <c r="N58" s="7"/>
      <c r="O58" s="7">
        <v>5</v>
      </c>
      <c r="P58" s="7">
        <v>1</v>
      </c>
      <c r="Q58" s="10">
        <v>42960</v>
      </c>
    </row>
    <row r="59" spans="1:17" ht="15.75" customHeight="1" x14ac:dyDescent="0.2">
      <c r="A59" s="1" t="s">
        <v>19</v>
      </c>
      <c r="B59" s="9">
        <v>42962</v>
      </c>
      <c r="C59" s="7">
        <f t="shared" si="0"/>
        <v>2017</v>
      </c>
      <c r="D59" s="7">
        <v>107</v>
      </c>
      <c r="E59" s="7">
        <v>41</v>
      </c>
      <c r="F59" s="7">
        <v>2</v>
      </c>
      <c r="G59" s="7">
        <v>8</v>
      </c>
      <c r="H59" s="7">
        <v>0</v>
      </c>
      <c r="I59" s="7">
        <v>0</v>
      </c>
      <c r="J59" s="7">
        <v>0</v>
      </c>
      <c r="K59" s="7">
        <v>2</v>
      </c>
      <c r="L59" s="7"/>
      <c r="M59" s="7"/>
      <c r="N59" s="7"/>
      <c r="O59" s="7">
        <v>1</v>
      </c>
      <c r="P59" s="7">
        <v>1</v>
      </c>
      <c r="Q59" s="10">
        <v>42960</v>
      </c>
    </row>
    <row r="60" spans="1:17" ht="15.75" customHeight="1" x14ac:dyDescent="0.2">
      <c r="A60" s="1" t="s">
        <v>18</v>
      </c>
      <c r="B60" s="9">
        <v>42961</v>
      </c>
      <c r="C60" s="7">
        <f t="shared" si="0"/>
        <v>2017</v>
      </c>
      <c r="D60" s="7">
        <v>101</v>
      </c>
      <c r="E60" s="7">
        <v>30</v>
      </c>
      <c r="F60" s="7">
        <v>3</v>
      </c>
      <c r="G60" s="7">
        <v>4</v>
      </c>
      <c r="H60" s="7">
        <v>2</v>
      </c>
      <c r="I60" s="7">
        <v>0</v>
      </c>
      <c r="J60" s="7">
        <v>0</v>
      </c>
      <c r="K60" s="7">
        <v>0</v>
      </c>
      <c r="L60" s="7"/>
      <c r="M60" s="7"/>
      <c r="N60" s="7"/>
      <c r="O60" s="7">
        <v>0</v>
      </c>
      <c r="P60" s="7">
        <v>1</v>
      </c>
      <c r="Q60" s="10">
        <v>42960</v>
      </c>
    </row>
    <row r="61" spans="1:17" ht="15.75" customHeight="1" x14ac:dyDescent="0.2">
      <c r="A61" s="1" t="s">
        <v>17</v>
      </c>
      <c r="B61" s="9">
        <v>42957</v>
      </c>
      <c r="C61" s="7">
        <f t="shared" si="0"/>
        <v>2017</v>
      </c>
      <c r="D61" s="7">
        <v>105</v>
      </c>
      <c r="E61" s="7">
        <v>15</v>
      </c>
      <c r="F61" s="7">
        <v>1</v>
      </c>
      <c r="G61" s="7">
        <v>3</v>
      </c>
      <c r="H61" s="7">
        <v>1</v>
      </c>
      <c r="I61" s="7">
        <v>0</v>
      </c>
      <c r="J61" s="7">
        <v>0</v>
      </c>
      <c r="K61" s="7">
        <v>0</v>
      </c>
      <c r="L61" s="7"/>
      <c r="M61" s="7"/>
      <c r="N61" s="7"/>
      <c r="O61" s="7">
        <v>1</v>
      </c>
      <c r="P61" s="7">
        <v>3</v>
      </c>
      <c r="Q61" s="10">
        <v>42953</v>
      </c>
    </row>
    <row r="62" spans="1:17" ht="15.75" customHeight="1" x14ac:dyDescent="0.2">
      <c r="A62" s="1" t="s">
        <v>19</v>
      </c>
      <c r="B62" s="9">
        <v>42955</v>
      </c>
      <c r="C62" s="7">
        <f t="shared" si="0"/>
        <v>2017</v>
      </c>
      <c r="D62" s="7">
        <v>102</v>
      </c>
      <c r="E62" s="7">
        <v>35</v>
      </c>
      <c r="F62" s="7">
        <v>0</v>
      </c>
      <c r="G62" s="7">
        <v>2</v>
      </c>
      <c r="H62" s="7">
        <v>2</v>
      </c>
      <c r="I62" s="7">
        <v>0</v>
      </c>
      <c r="J62" s="7">
        <v>0</v>
      </c>
      <c r="K62" s="7">
        <v>0</v>
      </c>
      <c r="L62" s="7"/>
      <c r="M62" s="7"/>
      <c r="N62" s="7"/>
      <c r="O62" s="7">
        <v>1</v>
      </c>
      <c r="P62" s="7">
        <v>2</v>
      </c>
      <c r="Q62" s="10">
        <v>42953</v>
      </c>
    </row>
    <row r="63" spans="1:17" ht="15.75" customHeight="1" x14ac:dyDescent="0.2">
      <c r="A63" s="1" t="s">
        <v>17</v>
      </c>
      <c r="B63" s="9">
        <v>42950</v>
      </c>
      <c r="C63" s="7">
        <f t="shared" si="0"/>
        <v>2017</v>
      </c>
      <c r="D63" s="7">
        <v>127</v>
      </c>
      <c r="E63" s="7">
        <v>18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/>
      <c r="M63" s="7"/>
      <c r="N63" s="7"/>
      <c r="O63" s="7">
        <v>5</v>
      </c>
      <c r="P63" s="7">
        <v>1</v>
      </c>
      <c r="Q63" s="10">
        <v>42946</v>
      </c>
    </row>
    <row r="64" spans="1:17" ht="15.75" customHeight="1" x14ac:dyDescent="0.2">
      <c r="A64" s="1" t="s">
        <v>19</v>
      </c>
      <c r="B64" s="9">
        <v>42948</v>
      </c>
      <c r="C64" s="7">
        <f t="shared" si="0"/>
        <v>2017</v>
      </c>
      <c r="D64" s="7">
        <v>102</v>
      </c>
      <c r="E64" s="7">
        <v>22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/>
      <c r="M64" s="7"/>
      <c r="N64" s="7"/>
      <c r="O64" s="7">
        <v>0</v>
      </c>
      <c r="P64" s="7">
        <v>4</v>
      </c>
      <c r="Q64" s="10">
        <v>42946</v>
      </c>
    </row>
    <row r="65" spans="1:17" ht="15.75" customHeight="1" x14ac:dyDescent="0.2">
      <c r="A65" s="1" t="s">
        <v>18</v>
      </c>
      <c r="B65" s="9">
        <v>42947</v>
      </c>
      <c r="C65" s="7">
        <f t="shared" si="0"/>
        <v>2017</v>
      </c>
      <c r="D65" s="7">
        <v>111</v>
      </c>
      <c r="E65" s="7">
        <v>51</v>
      </c>
      <c r="F65" s="7">
        <v>1</v>
      </c>
      <c r="G65" s="7">
        <v>2</v>
      </c>
      <c r="H65" s="7">
        <v>0</v>
      </c>
      <c r="I65" s="7">
        <v>0</v>
      </c>
      <c r="J65" s="7">
        <v>0</v>
      </c>
      <c r="K65" s="7">
        <v>0</v>
      </c>
      <c r="L65" s="7"/>
      <c r="M65" s="7"/>
      <c r="N65" s="7"/>
      <c r="O65" s="7">
        <v>1</v>
      </c>
      <c r="P65" s="7">
        <v>5</v>
      </c>
      <c r="Q65" s="10">
        <v>42946</v>
      </c>
    </row>
    <row r="66" spans="1:17" ht="15.75" customHeight="1" x14ac:dyDescent="0.2">
      <c r="A66" s="1" t="s">
        <v>17</v>
      </c>
      <c r="B66" s="9">
        <v>42943</v>
      </c>
      <c r="C66" s="7">
        <f t="shared" si="0"/>
        <v>2017</v>
      </c>
      <c r="D66" s="7">
        <v>181</v>
      </c>
      <c r="E66" s="7">
        <v>27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/>
      <c r="M66" s="7"/>
      <c r="N66" s="7"/>
      <c r="P66" s="7">
        <v>4</v>
      </c>
      <c r="Q66" s="10">
        <v>42939</v>
      </c>
    </row>
    <row r="67" spans="1:17" ht="15.75" customHeight="1" x14ac:dyDescent="0.2">
      <c r="A67" s="1" t="s">
        <v>19</v>
      </c>
      <c r="B67" s="9">
        <v>42941</v>
      </c>
      <c r="C67" s="7">
        <f t="shared" si="0"/>
        <v>2017</v>
      </c>
      <c r="D67" s="7">
        <v>105</v>
      </c>
      <c r="E67" s="7">
        <v>22</v>
      </c>
      <c r="F67" s="7">
        <v>3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/>
      <c r="M67" s="7"/>
      <c r="N67" s="7"/>
      <c r="O67" s="7">
        <v>3</v>
      </c>
      <c r="P67" s="7">
        <v>3</v>
      </c>
      <c r="Q67" s="10">
        <v>42939</v>
      </c>
    </row>
    <row r="68" spans="1:17" ht="15.75" customHeight="1" x14ac:dyDescent="0.2">
      <c r="A68" s="1" t="s">
        <v>18</v>
      </c>
      <c r="B68" s="9">
        <v>42940</v>
      </c>
      <c r="C68" s="7">
        <f t="shared" si="0"/>
        <v>2017</v>
      </c>
      <c r="D68" s="7">
        <v>105</v>
      </c>
      <c r="E68" s="7">
        <v>29</v>
      </c>
      <c r="F68" s="7">
        <v>12</v>
      </c>
      <c r="G68" s="7">
        <v>0</v>
      </c>
      <c r="H68" s="7">
        <v>1</v>
      </c>
      <c r="I68" s="7">
        <v>0</v>
      </c>
      <c r="J68" s="7">
        <v>0</v>
      </c>
      <c r="K68" s="7">
        <v>0</v>
      </c>
      <c r="L68" s="7"/>
      <c r="M68" s="7"/>
      <c r="N68" s="7"/>
      <c r="O68" s="7">
        <v>6</v>
      </c>
      <c r="P68" s="7">
        <v>1</v>
      </c>
      <c r="Q68" s="10">
        <v>42939</v>
      </c>
    </row>
    <row r="69" spans="1:17" ht="15.75" customHeight="1" x14ac:dyDescent="0.2">
      <c r="A69" s="1" t="s">
        <v>17</v>
      </c>
      <c r="B69" s="9">
        <v>42936</v>
      </c>
      <c r="C69" s="7">
        <f t="shared" si="0"/>
        <v>2017</v>
      </c>
      <c r="D69" s="7">
        <v>132</v>
      </c>
      <c r="E69" s="7">
        <v>31</v>
      </c>
      <c r="F69" s="7">
        <v>2</v>
      </c>
      <c r="G69" s="7">
        <v>2</v>
      </c>
      <c r="H69" s="7">
        <v>0</v>
      </c>
      <c r="I69" s="7">
        <v>0</v>
      </c>
      <c r="J69" s="7">
        <v>0</v>
      </c>
      <c r="K69" s="7">
        <v>0</v>
      </c>
      <c r="L69" s="7"/>
      <c r="M69" s="7"/>
      <c r="N69" s="7"/>
      <c r="Q69" s="10">
        <v>42932</v>
      </c>
    </row>
    <row r="70" spans="1:17" ht="15.75" customHeight="1" x14ac:dyDescent="0.2">
      <c r="A70" s="1" t="s">
        <v>19</v>
      </c>
      <c r="B70" s="9">
        <v>42934</v>
      </c>
      <c r="C70" s="7">
        <f t="shared" si="0"/>
        <v>2017</v>
      </c>
      <c r="D70" s="7">
        <v>121</v>
      </c>
      <c r="E70" s="7">
        <v>11</v>
      </c>
      <c r="F70" s="7">
        <v>1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/>
      <c r="M70" s="7"/>
      <c r="N70" s="7"/>
      <c r="O70" s="7">
        <v>1</v>
      </c>
      <c r="P70" s="7">
        <v>4</v>
      </c>
      <c r="Q70" s="10">
        <v>42932</v>
      </c>
    </row>
    <row r="71" spans="1:17" ht="15.75" customHeight="1" x14ac:dyDescent="0.2">
      <c r="A71" s="1" t="s">
        <v>18</v>
      </c>
      <c r="B71" s="9">
        <v>42933</v>
      </c>
      <c r="C71" s="7">
        <f t="shared" si="0"/>
        <v>2017</v>
      </c>
      <c r="D71" s="7">
        <v>110</v>
      </c>
      <c r="E71" s="7">
        <v>19</v>
      </c>
      <c r="F71" s="7">
        <v>2</v>
      </c>
      <c r="G71" s="7">
        <v>2</v>
      </c>
      <c r="H71" s="7">
        <v>1</v>
      </c>
      <c r="I71" s="7">
        <v>0</v>
      </c>
      <c r="J71" s="7">
        <v>0</v>
      </c>
      <c r="K71" s="7">
        <v>0</v>
      </c>
      <c r="L71" s="7"/>
      <c r="M71" s="7"/>
      <c r="N71" s="7"/>
      <c r="O71" s="7">
        <v>0</v>
      </c>
      <c r="P71" s="7">
        <v>2</v>
      </c>
      <c r="Q71" s="10">
        <v>42932</v>
      </c>
    </row>
    <row r="72" spans="1:17" ht="15.75" customHeight="1" x14ac:dyDescent="0.2">
      <c r="A72" s="1" t="s">
        <v>17</v>
      </c>
      <c r="B72" s="9">
        <v>42929</v>
      </c>
      <c r="C72" s="7">
        <f t="shared" si="0"/>
        <v>2017</v>
      </c>
      <c r="D72" s="7">
        <v>113</v>
      </c>
      <c r="E72" s="7">
        <v>19</v>
      </c>
      <c r="F72" s="7">
        <v>10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/>
      <c r="M72" s="7"/>
      <c r="N72" s="7"/>
      <c r="P72" s="7"/>
      <c r="Q72" s="10">
        <v>42925</v>
      </c>
    </row>
    <row r="73" spans="1:17" ht="15.75" customHeight="1" x14ac:dyDescent="0.2">
      <c r="A73" s="1" t="s">
        <v>19</v>
      </c>
      <c r="B73" s="9">
        <v>42927</v>
      </c>
      <c r="C73" s="7">
        <f t="shared" si="0"/>
        <v>2017</v>
      </c>
      <c r="D73" s="7">
        <v>110</v>
      </c>
      <c r="E73" s="7">
        <v>8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/>
      <c r="M73" s="7"/>
      <c r="N73" s="7"/>
      <c r="O73" s="7">
        <v>2</v>
      </c>
      <c r="P73" s="7">
        <v>2</v>
      </c>
      <c r="Q73" s="10">
        <v>42925</v>
      </c>
    </row>
    <row r="74" spans="1:17" ht="15.75" customHeight="1" x14ac:dyDescent="0.2">
      <c r="A74" s="1" t="s">
        <v>18</v>
      </c>
      <c r="B74" s="9">
        <v>42926</v>
      </c>
      <c r="C74" s="7">
        <f t="shared" si="0"/>
        <v>2017</v>
      </c>
      <c r="D74" s="7">
        <v>100</v>
      </c>
      <c r="E74" s="7">
        <v>11</v>
      </c>
      <c r="F74" s="7">
        <v>3</v>
      </c>
      <c r="G74" s="7">
        <v>0</v>
      </c>
      <c r="H74" s="7">
        <v>1</v>
      </c>
      <c r="I74" s="7">
        <v>0</v>
      </c>
      <c r="J74" s="7">
        <v>2</v>
      </c>
      <c r="K74" s="7">
        <v>0</v>
      </c>
      <c r="L74" s="7"/>
      <c r="M74" s="7"/>
      <c r="N74" s="7"/>
      <c r="O74" s="7">
        <v>0</v>
      </c>
      <c r="P74" s="7">
        <v>1</v>
      </c>
      <c r="Q74" s="10">
        <v>42925</v>
      </c>
    </row>
    <row r="75" spans="1:17" ht="15.75" customHeight="1" x14ac:dyDescent="0.2">
      <c r="A75" s="1" t="s">
        <v>17</v>
      </c>
      <c r="B75" s="9">
        <v>42922</v>
      </c>
      <c r="C75" s="7">
        <f t="shared" si="0"/>
        <v>2017</v>
      </c>
      <c r="D75" s="7">
        <v>105</v>
      </c>
      <c r="E75" s="7">
        <v>8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/>
      <c r="M75" s="7"/>
      <c r="N75" s="7"/>
      <c r="O75" s="7">
        <v>0</v>
      </c>
      <c r="P75" s="7">
        <v>2</v>
      </c>
      <c r="Q75" s="10">
        <v>42918</v>
      </c>
    </row>
    <row r="76" spans="1:17" ht="15.75" customHeight="1" x14ac:dyDescent="0.2">
      <c r="A76" s="1" t="s">
        <v>19</v>
      </c>
      <c r="B76" s="9">
        <v>42920</v>
      </c>
      <c r="C76" s="7">
        <f t="shared" si="0"/>
        <v>2017</v>
      </c>
      <c r="D76" s="7">
        <v>100</v>
      </c>
      <c r="E76" s="7">
        <v>6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/>
      <c r="M76" s="7"/>
      <c r="N76" s="7"/>
      <c r="O76" s="7">
        <v>0</v>
      </c>
      <c r="P76" s="7">
        <v>1</v>
      </c>
      <c r="Q76" s="10">
        <v>42918</v>
      </c>
    </row>
    <row r="77" spans="1:17" ht="15.75" customHeight="1" x14ac:dyDescent="0.2">
      <c r="A77" s="1" t="s">
        <v>18</v>
      </c>
      <c r="B77" s="9">
        <v>42919</v>
      </c>
      <c r="C77" s="7">
        <f t="shared" si="0"/>
        <v>2017</v>
      </c>
      <c r="D77" s="7">
        <v>101</v>
      </c>
      <c r="E77" s="7">
        <v>12</v>
      </c>
      <c r="F77" s="7">
        <v>1</v>
      </c>
      <c r="G77" s="7">
        <v>1</v>
      </c>
      <c r="H77" s="7">
        <v>1</v>
      </c>
      <c r="I77" s="7">
        <v>0</v>
      </c>
      <c r="J77" s="7">
        <v>0</v>
      </c>
      <c r="K77" s="7">
        <v>0</v>
      </c>
      <c r="L77" s="7"/>
      <c r="M77" s="7"/>
      <c r="N77" s="7"/>
      <c r="O77" s="7">
        <v>7</v>
      </c>
      <c r="P77" s="7">
        <v>3</v>
      </c>
      <c r="Q77" s="10">
        <v>42918</v>
      </c>
    </row>
    <row r="78" spans="1:17" ht="15.75" customHeight="1" x14ac:dyDescent="0.2">
      <c r="A78" s="1" t="s">
        <v>17</v>
      </c>
      <c r="B78" s="9">
        <v>42915</v>
      </c>
      <c r="C78" s="7">
        <f t="shared" si="0"/>
        <v>2017</v>
      </c>
      <c r="D78" s="7">
        <v>112</v>
      </c>
      <c r="E78" s="7">
        <v>3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/>
      <c r="M78" s="7"/>
      <c r="N78" s="7"/>
      <c r="O78" s="7">
        <v>3</v>
      </c>
      <c r="P78" s="7">
        <v>2</v>
      </c>
      <c r="Q78" s="10">
        <v>42911</v>
      </c>
    </row>
    <row r="79" spans="1:17" ht="15.75" customHeight="1" x14ac:dyDescent="0.2">
      <c r="A79" s="1" t="s">
        <v>19</v>
      </c>
      <c r="B79" s="9">
        <v>42913</v>
      </c>
      <c r="C79" s="7">
        <f t="shared" si="0"/>
        <v>2017</v>
      </c>
      <c r="D79" s="7">
        <v>114</v>
      </c>
      <c r="E79" s="7">
        <v>11</v>
      </c>
      <c r="F79" s="7">
        <v>0</v>
      </c>
      <c r="G79" s="7">
        <v>0</v>
      </c>
      <c r="H79" s="7">
        <v>0</v>
      </c>
      <c r="I79" s="7">
        <v>1</v>
      </c>
      <c r="J79" s="7">
        <v>0</v>
      </c>
      <c r="K79" s="7">
        <v>0</v>
      </c>
      <c r="L79" s="7"/>
      <c r="M79" s="7"/>
      <c r="N79" s="7"/>
      <c r="O79" s="7">
        <v>0</v>
      </c>
      <c r="P79" s="7">
        <v>3</v>
      </c>
      <c r="Q79" s="10">
        <v>42911</v>
      </c>
    </row>
    <row r="80" spans="1:17" ht="15.75" customHeight="1" x14ac:dyDescent="0.2">
      <c r="A80" s="1" t="s">
        <v>18</v>
      </c>
      <c r="B80" s="9">
        <v>42912</v>
      </c>
      <c r="C80" s="7">
        <f t="shared" si="0"/>
        <v>2017</v>
      </c>
      <c r="D80" s="7">
        <v>112</v>
      </c>
      <c r="E80" s="7">
        <v>18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/>
      <c r="M80" s="7"/>
      <c r="N80" s="7"/>
      <c r="O80" s="7">
        <v>1</v>
      </c>
      <c r="P80" s="7">
        <v>2</v>
      </c>
      <c r="Q80" s="10">
        <v>42911</v>
      </c>
    </row>
    <row r="81" spans="1:17" ht="15.75" customHeight="1" x14ac:dyDescent="0.2">
      <c r="A81" s="1" t="s">
        <v>17</v>
      </c>
      <c r="B81" s="9">
        <v>42908</v>
      </c>
      <c r="C81" s="7">
        <f t="shared" si="0"/>
        <v>2017</v>
      </c>
      <c r="D81" s="7">
        <v>154</v>
      </c>
      <c r="E81" s="7">
        <v>7</v>
      </c>
      <c r="F81" s="7">
        <v>4</v>
      </c>
      <c r="G81" s="7">
        <v>0</v>
      </c>
      <c r="H81" s="7">
        <v>0</v>
      </c>
      <c r="I81" s="7">
        <v>1</v>
      </c>
      <c r="J81" s="7">
        <v>0</v>
      </c>
      <c r="K81" s="7">
        <v>5</v>
      </c>
      <c r="L81" s="7"/>
      <c r="M81" s="7"/>
      <c r="N81" s="7"/>
      <c r="O81" s="7">
        <v>1</v>
      </c>
      <c r="P81" s="7">
        <v>2</v>
      </c>
      <c r="Q81" s="10">
        <v>42904</v>
      </c>
    </row>
    <row r="82" spans="1:17" ht="15.75" customHeight="1" x14ac:dyDescent="0.2">
      <c r="A82" s="1" t="s">
        <v>19</v>
      </c>
      <c r="B82" s="9">
        <v>42906</v>
      </c>
      <c r="C82" s="7">
        <f t="shared" si="0"/>
        <v>2017</v>
      </c>
      <c r="D82" s="7">
        <v>128</v>
      </c>
      <c r="E82" s="7">
        <v>16</v>
      </c>
      <c r="F82" s="7">
        <v>0</v>
      </c>
      <c r="G82" s="7">
        <v>0</v>
      </c>
      <c r="H82" s="7">
        <v>3</v>
      </c>
      <c r="I82" s="7">
        <v>1</v>
      </c>
      <c r="J82" s="7">
        <v>0</v>
      </c>
      <c r="K82" s="7">
        <v>0</v>
      </c>
      <c r="L82" s="7"/>
      <c r="M82" s="7"/>
      <c r="N82" s="7"/>
      <c r="O82" s="7">
        <v>3</v>
      </c>
      <c r="P82" s="7">
        <v>4</v>
      </c>
      <c r="Q82" s="10">
        <v>42904</v>
      </c>
    </row>
    <row r="83" spans="1:17" ht="15.75" customHeight="1" x14ac:dyDescent="0.2">
      <c r="A83" s="1" t="s">
        <v>18</v>
      </c>
      <c r="B83" s="9">
        <v>42905</v>
      </c>
      <c r="C83" s="7">
        <f t="shared" si="0"/>
        <v>2017</v>
      </c>
      <c r="D83" s="7">
        <v>119</v>
      </c>
      <c r="E83" s="7">
        <v>27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/>
      <c r="M83" s="7"/>
      <c r="N83" s="7"/>
      <c r="O83" s="7">
        <v>0</v>
      </c>
      <c r="P83" s="7">
        <v>5</v>
      </c>
      <c r="Q83" s="10">
        <v>42904</v>
      </c>
    </row>
    <row r="84" spans="1:17" ht="15.75" customHeight="1" x14ac:dyDescent="0.2">
      <c r="A84" s="1" t="s">
        <v>17</v>
      </c>
      <c r="B84" s="9">
        <v>42901</v>
      </c>
      <c r="C84" s="7">
        <f t="shared" si="0"/>
        <v>2017</v>
      </c>
      <c r="D84" s="7">
        <v>157</v>
      </c>
      <c r="E84" s="7">
        <v>11</v>
      </c>
      <c r="F84" s="7">
        <v>6</v>
      </c>
      <c r="G84" s="7">
        <v>2</v>
      </c>
      <c r="H84" s="7">
        <v>0</v>
      </c>
      <c r="I84" s="7">
        <v>0</v>
      </c>
      <c r="J84" s="7">
        <v>0</v>
      </c>
      <c r="K84" s="7">
        <v>0</v>
      </c>
      <c r="L84" s="7"/>
      <c r="M84" s="7"/>
      <c r="N84" s="7"/>
      <c r="O84" s="7">
        <v>4</v>
      </c>
      <c r="P84" s="7">
        <v>2</v>
      </c>
      <c r="Q84" s="10">
        <v>42897</v>
      </c>
    </row>
    <row r="85" spans="1:17" ht="15.75" customHeight="1" x14ac:dyDescent="0.2">
      <c r="A85" s="1" t="s">
        <v>19</v>
      </c>
      <c r="B85" s="9">
        <v>42899</v>
      </c>
      <c r="C85" s="7">
        <f t="shared" si="0"/>
        <v>2017</v>
      </c>
      <c r="D85" s="7">
        <v>58</v>
      </c>
      <c r="E85" s="7">
        <v>2</v>
      </c>
      <c r="F85" s="7">
        <v>1</v>
      </c>
      <c r="G85" s="7">
        <v>1</v>
      </c>
      <c r="H85" s="7">
        <v>0</v>
      </c>
      <c r="I85" s="7">
        <v>0</v>
      </c>
      <c r="J85" s="7">
        <v>0</v>
      </c>
      <c r="K85" s="7">
        <v>0</v>
      </c>
      <c r="L85" s="7"/>
      <c r="M85" s="7"/>
      <c r="N85" s="7"/>
      <c r="O85" s="7">
        <v>2</v>
      </c>
      <c r="P85" s="7">
        <v>3</v>
      </c>
      <c r="Q85" s="10">
        <v>42897</v>
      </c>
    </row>
    <row r="86" spans="1:17" ht="15.75" customHeight="1" x14ac:dyDescent="0.2">
      <c r="A86" s="1" t="s">
        <v>18</v>
      </c>
      <c r="B86" s="9">
        <v>42899</v>
      </c>
      <c r="C86" s="7">
        <f t="shared" si="0"/>
        <v>2017</v>
      </c>
      <c r="D86" s="7">
        <v>105</v>
      </c>
      <c r="E86" s="7">
        <v>7</v>
      </c>
      <c r="F86" s="7">
        <v>1</v>
      </c>
      <c r="G86" s="7">
        <v>3</v>
      </c>
      <c r="H86" s="7">
        <v>0</v>
      </c>
      <c r="I86" s="7">
        <v>0</v>
      </c>
      <c r="J86" s="7">
        <v>0</v>
      </c>
      <c r="K86" s="7">
        <v>0</v>
      </c>
      <c r="L86" s="7"/>
      <c r="M86" s="7"/>
      <c r="N86" s="7"/>
      <c r="O86" s="7">
        <v>4</v>
      </c>
      <c r="P86" s="7">
        <v>1</v>
      </c>
      <c r="Q86" s="10">
        <v>42897</v>
      </c>
    </row>
    <row r="87" spans="1:17" ht="15.75" customHeight="1" x14ac:dyDescent="0.2">
      <c r="A87" s="1" t="s">
        <v>17</v>
      </c>
      <c r="B87" s="9">
        <v>42894</v>
      </c>
      <c r="C87" s="7">
        <f t="shared" si="0"/>
        <v>2017</v>
      </c>
      <c r="D87" s="7">
        <v>146</v>
      </c>
      <c r="E87" s="7">
        <v>32</v>
      </c>
      <c r="F87" s="7">
        <v>1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/>
      <c r="M87" s="7"/>
      <c r="N87" s="7"/>
      <c r="O87" s="7">
        <v>4</v>
      </c>
      <c r="P87" s="7">
        <v>1</v>
      </c>
      <c r="Q87" s="10">
        <v>42890</v>
      </c>
    </row>
    <row r="88" spans="1:17" ht="15.75" customHeight="1" x14ac:dyDescent="0.2">
      <c r="A88" s="1" t="s">
        <v>19</v>
      </c>
      <c r="B88" s="9">
        <v>42892</v>
      </c>
      <c r="C88" s="7">
        <f t="shared" si="0"/>
        <v>2017</v>
      </c>
      <c r="D88" s="7">
        <v>140</v>
      </c>
      <c r="E88" s="7">
        <v>8</v>
      </c>
      <c r="F88" s="7">
        <v>0</v>
      </c>
      <c r="G88" s="7">
        <v>0</v>
      </c>
      <c r="H88" s="7">
        <v>3</v>
      </c>
      <c r="I88" s="7">
        <v>0</v>
      </c>
      <c r="J88" s="7">
        <v>0</v>
      </c>
      <c r="K88" s="7">
        <v>0</v>
      </c>
      <c r="L88" s="7"/>
      <c r="M88" s="7"/>
      <c r="N88" s="7"/>
      <c r="O88" s="7">
        <v>3</v>
      </c>
      <c r="P88" s="7">
        <v>1</v>
      </c>
      <c r="Q88" s="10">
        <v>42890</v>
      </c>
    </row>
    <row r="89" spans="1:17" ht="15.75" customHeight="1" x14ac:dyDescent="0.2">
      <c r="A89" s="1" t="s">
        <v>18</v>
      </c>
      <c r="B89" s="9">
        <v>42891</v>
      </c>
      <c r="C89" s="7">
        <f t="shared" si="0"/>
        <v>2017</v>
      </c>
      <c r="D89" s="7">
        <v>151</v>
      </c>
      <c r="E89" s="7">
        <v>40</v>
      </c>
      <c r="F89" s="7">
        <v>1</v>
      </c>
      <c r="G89" s="7">
        <v>1</v>
      </c>
      <c r="H89" s="7">
        <v>0</v>
      </c>
      <c r="I89" s="7">
        <v>0</v>
      </c>
      <c r="J89" s="7">
        <v>0</v>
      </c>
      <c r="K89" s="7">
        <v>0</v>
      </c>
      <c r="L89" s="7"/>
      <c r="M89" s="7"/>
      <c r="N89" s="7"/>
      <c r="O89" s="7">
        <v>3</v>
      </c>
      <c r="P89" s="7">
        <v>1</v>
      </c>
      <c r="Q89" s="10">
        <v>42890</v>
      </c>
    </row>
    <row r="90" spans="1:17" ht="15.75" customHeight="1" x14ac:dyDescent="0.2">
      <c r="A90" s="1" t="s">
        <v>19</v>
      </c>
      <c r="B90" s="9">
        <v>42598</v>
      </c>
      <c r="C90" s="7">
        <f t="shared" si="0"/>
        <v>2016</v>
      </c>
      <c r="D90" s="7">
        <v>100</v>
      </c>
      <c r="E90" s="7">
        <v>10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/>
      <c r="M90" s="7"/>
      <c r="N90" s="7"/>
      <c r="Q90" s="10">
        <v>42596</v>
      </c>
    </row>
    <row r="91" spans="1:17" ht="15.75" customHeight="1" x14ac:dyDescent="0.2">
      <c r="A91" s="1" t="s">
        <v>17</v>
      </c>
      <c r="B91" s="9">
        <v>42598</v>
      </c>
      <c r="C91" s="7">
        <f t="shared" si="0"/>
        <v>2016</v>
      </c>
      <c r="D91" s="7">
        <v>98</v>
      </c>
      <c r="E91" s="7">
        <v>16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/>
      <c r="M91" s="7"/>
      <c r="N91" s="7"/>
      <c r="Q91" s="10">
        <v>42596</v>
      </c>
    </row>
    <row r="92" spans="1:17" ht="15.75" customHeight="1" x14ac:dyDescent="0.2">
      <c r="A92" s="1" t="s">
        <v>19</v>
      </c>
      <c r="B92" s="9">
        <v>42591</v>
      </c>
      <c r="C92" s="7">
        <f t="shared" si="0"/>
        <v>2016</v>
      </c>
      <c r="D92" s="7">
        <v>112</v>
      </c>
      <c r="E92" s="7">
        <v>1</v>
      </c>
      <c r="F92" s="7">
        <v>0</v>
      </c>
      <c r="G92" s="7">
        <v>0</v>
      </c>
      <c r="H92" s="7">
        <v>0</v>
      </c>
      <c r="I92" s="7">
        <v>0</v>
      </c>
      <c r="J92" s="7">
        <v>1</v>
      </c>
      <c r="K92" s="7">
        <v>0</v>
      </c>
      <c r="L92" s="7"/>
      <c r="M92" s="7"/>
      <c r="N92" s="7"/>
      <c r="Q92" s="10">
        <v>42589</v>
      </c>
    </row>
    <row r="93" spans="1:17" ht="15.75" customHeight="1" x14ac:dyDescent="0.2">
      <c r="A93" s="1" t="s">
        <v>17</v>
      </c>
      <c r="B93" s="9">
        <v>42590</v>
      </c>
      <c r="C93" s="7">
        <f t="shared" si="0"/>
        <v>2016</v>
      </c>
      <c r="D93" s="7">
        <v>136</v>
      </c>
      <c r="E93" s="7">
        <v>6</v>
      </c>
      <c r="F93" s="7">
        <v>1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/>
      <c r="M93" s="7"/>
      <c r="N93" s="7"/>
      <c r="Q93" s="10">
        <v>42589</v>
      </c>
    </row>
    <row r="94" spans="1:17" ht="15.75" customHeight="1" x14ac:dyDescent="0.2">
      <c r="A94" s="1" t="s">
        <v>18</v>
      </c>
      <c r="B94" s="9">
        <v>42586</v>
      </c>
      <c r="C94" s="7">
        <f t="shared" si="0"/>
        <v>2016</v>
      </c>
      <c r="D94" s="7">
        <v>100</v>
      </c>
      <c r="E94" s="7">
        <v>8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/>
      <c r="M94" s="7"/>
      <c r="N94" s="7"/>
      <c r="Q94" s="10">
        <v>42582</v>
      </c>
    </row>
    <row r="95" spans="1:17" ht="15.75" customHeight="1" x14ac:dyDescent="0.2">
      <c r="A95" s="1" t="s">
        <v>19</v>
      </c>
      <c r="B95" s="9">
        <v>42584</v>
      </c>
      <c r="C95" s="7">
        <f t="shared" si="0"/>
        <v>2016</v>
      </c>
      <c r="D95" s="7">
        <v>100</v>
      </c>
      <c r="E95" s="7">
        <v>0</v>
      </c>
      <c r="F95" s="7">
        <v>1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/>
      <c r="M95" s="7"/>
      <c r="N95" s="7"/>
      <c r="Q95" s="10">
        <v>42582</v>
      </c>
    </row>
    <row r="96" spans="1:17" ht="15.75" customHeight="1" x14ac:dyDescent="0.2">
      <c r="A96" s="1" t="s">
        <v>18</v>
      </c>
      <c r="B96" s="9">
        <v>42579</v>
      </c>
      <c r="C96" s="7">
        <f t="shared" si="0"/>
        <v>2016</v>
      </c>
      <c r="D96" s="7">
        <v>100</v>
      </c>
      <c r="E96" s="7">
        <v>3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/>
      <c r="M96" s="7"/>
      <c r="N96" s="7"/>
      <c r="Q96" s="10">
        <v>42575</v>
      </c>
    </row>
    <row r="97" spans="1:17" ht="15.75" customHeight="1" x14ac:dyDescent="0.2">
      <c r="A97" s="1" t="s">
        <v>19</v>
      </c>
      <c r="B97" s="9">
        <v>42578</v>
      </c>
      <c r="C97" s="7">
        <f t="shared" si="0"/>
        <v>2016</v>
      </c>
      <c r="D97" s="7">
        <v>105</v>
      </c>
      <c r="E97" s="7">
        <v>6</v>
      </c>
      <c r="F97" s="7">
        <v>1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/>
      <c r="M97" s="7"/>
      <c r="N97" s="7"/>
      <c r="Q97" s="10">
        <v>42575</v>
      </c>
    </row>
    <row r="98" spans="1:17" ht="15.75" customHeight="1" x14ac:dyDescent="0.2">
      <c r="A98" s="1" t="s">
        <v>17</v>
      </c>
      <c r="B98" s="9">
        <v>42577</v>
      </c>
      <c r="C98" s="7">
        <f t="shared" si="0"/>
        <v>2016</v>
      </c>
      <c r="D98" s="7">
        <v>123</v>
      </c>
      <c r="E98" s="7">
        <v>11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/>
      <c r="M98" s="7"/>
      <c r="N98" s="7"/>
      <c r="Q98" s="10">
        <v>42575</v>
      </c>
    </row>
    <row r="99" spans="1:17" ht="15.75" customHeight="1" x14ac:dyDescent="0.2">
      <c r="A99" s="1" t="s">
        <v>19</v>
      </c>
      <c r="B99" s="9">
        <v>42570</v>
      </c>
      <c r="C99" s="7">
        <f t="shared" si="0"/>
        <v>2016</v>
      </c>
      <c r="D99" s="7">
        <v>100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/>
      <c r="M99" s="7"/>
      <c r="N99" s="7"/>
      <c r="Q99" s="10">
        <v>42568</v>
      </c>
    </row>
    <row r="100" spans="1:17" ht="15.75" customHeight="1" x14ac:dyDescent="0.2">
      <c r="A100" s="1" t="s">
        <v>17</v>
      </c>
      <c r="B100" s="9">
        <v>42570</v>
      </c>
      <c r="C100" s="7">
        <f t="shared" si="0"/>
        <v>2016</v>
      </c>
      <c r="D100" s="7">
        <v>107</v>
      </c>
      <c r="E100" s="7">
        <v>4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/>
      <c r="M100" s="7"/>
      <c r="N100" s="7"/>
      <c r="Q100" s="10">
        <v>42568</v>
      </c>
    </row>
    <row r="101" spans="1:17" ht="15.75" customHeight="1" x14ac:dyDescent="0.2">
      <c r="A101" s="1" t="s">
        <v>19</v>
      </c>
      <c r="B101" s="9">
        <v>42563</v>
      </c>
      <c r="C101" s="7">
        <f t="shared" si="0"/>
        <v>2016</v>
      </c>
      <c r="D101" s="7">
        <v>100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/>
      <c r="M101" s="7"/>
      <c r="N101" s="7"/>
      <c r="Q101" s="10">
        <v>42561</v>
      </c>
    </row>
    <row r="102" spans="1:17" ht="15.75" customHeight="1" x14ac:dyDescent="0.2">
      <c r="A102" s="1" t="s">
        <v>17</v>
      </c>
      <c r="B102" s="9">
        <v>42563</v>
      </c>
      <c r="C102" s="7">
        <f t="shared" si="0"/>
        <v>2016</v>
      </c>
      <c r="D102" s="7">
        <v>129</v>
      </c>
      <c r="E102" s="7">
        <v>5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/>
      <c r="M102" s="7"/>
      <c r="N102" s="7"/>
      <c r="Q102" s="10">
        <v>42561</v>
      </c>
    </row>
    <row r="103" spans="1:17" ht="15.75" customHeight="1" x14ac:dyDescent="0.2">
      <c r="A103" s="1" t="s">
        <v>17</v>
      </c>
      <c r="B103" s="9">
        <v>42558</v>
      </c>
      <c r="C103" s="7">
        <f t="shared" si="0"/>
        <v>2016</v>
      </c>
      <c r="D103" s="7">
        <v>106</v>
      </c>
      <c r="E103" s="7">
        <v>7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/>
      <c r="M103" s="7"/>
      <c r="N103" s="7"/>
      <c r="Q103" s="10">
        <v>42554</v>
      </c>
    </row>
    <row r="104" spans="1:17" ht="15.75" customHeight="1" x14ac:dyDescent="0.2">
      <c r="A104" s="1" t="s">
        <v>18</v>
      </c>
      <c r="B104" s="9">
        <v>42558</v>
      </c>
      <c r="C104" s="7">
        <f t="shared" si="0"/>
        <v>2016</v>
      </c>
      <c r="D104" s="7">
        <v>100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/>
      <c r="M104" s="7"/>
      <c r="N104" s="7"/>
      <c r="Q104" s="10">
        <v>42554</v>
      </c>
    </row>
    <row r="105" spans="1:17" ht="15.75" customHeight="1" x14ac:dyDescent="0.2">
      <c r="A105" s="1" t="s">
        <v>19</v>
      </c>
      <c r="B105" s="9">
        <v>42556</v>
      </c>
      <c r="C105" s="7">
        <f t="shared" si="0"/>
        <v>2016</v>
      </c>
      <c r="D105" s="7">
        <v>106</v>
      </c>
      <c r="E105" s="7">
        <v>2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/>
      <c r="M105" s="7"/>
      <c r="N105" s="7"/>
      <c r="Q105" s="10">
        <v>42554</v>
      </c>
    </row>
    <row r="106" spans="1:17" ht="15.75" customHeight="1" x14ac:dyDescent="0.2">
      <c r="A106" s="1" t="s">
        <v>19</v>
      </c>
      <c r="B106" s="9">
        <v>42549</v>
      </c>
      <c r="C106" s="7">
        <f t="shared" si="0"/>
        <v>2016</v>
      </c>
      <c r="D106" s="7">
        <v>100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/>
      <c r="M106" s="7"/>
      <c r="N106" s="7"/>
      <c r="Q106" s="10">
        <v>42547</v>
      </c>
    </row>
    <row r="107" spans="1:17" ht="15.75" customHeight="1" x14ac:dyDescent="0.2">
      <c r="A107" s="1" t="s">
        <v>17</v>
      </c>
      <c r="B107" s="9">
        <v>42549</v>
      </c>
      <c r="C107" s="7">
        <f t="shared" si="0"/>
        <v>2016</v>
      </c>
      <c r="D107" s="7">
        <v>100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/>
      <c r="M107" s="7"/>
      <c r="N107" s="7"/>
      <c r="Q107" s="10">
        <v>42547</v>
      </c>
    </row>
    <row r="108" spans="1:17" ht="15.75" customHeight="1" x14ac:dyDescent="0.2">
      <c r="A108" s="1" t="s">
        <v>18</v>
      </c>
      <c r="B108" s="9">
        <v>42544</v>
      </c>
      <c r="C108" s="7">
        <f t="shared" si="0"/>
        <v>2016</v>
      </c>
      <c r="D108" s="7">
        <v>106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/>
      <c r="M108" s="7"/>
      <c r="N108" s="7"/>
      <c r="Q108" s="10">
        <v>42540</v>
      </c>
    </row>
    <row r="109" spans="1:17" ht="15.75" customHeight="1" x14ac:dyDescent="0.2">
      <c r="A109" s="1" t="s">
        <v>19</v>
      </c>
      <c r="B109" s="9">
        <v>42542</v>
      </c>
      <c r="C109" s="7">
        <f t="shared" si="0"/>
        <v>2016</v>
      </c>
      <c r="D109" s="7">
        <v>101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/>
      <c r="M109" s="7"/>
      <c r="N109" s="7"/>
      <c r="Q109" s="10">
        <v>42540</v>
      </c>
    </row>
    <row r="110" spans="1:17" ht="15.75" customHeight="1" x14ac:dyDescent="0.2">
      <c r="A110" s="1" t="s">
        <v>18</v>
      </c>
      <c r="B110" s="9">
        <v>42256</v>
      </c>
      <c r="C110" s="7">
        <f t="shared" si="0"/>
        <v>2015</v>
      </c>
      <c r="D110" s="7">
        <v>109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/>
      <c r="M110" s="7"/>
      <c r="N110" s="7"/>
      <c r="Q110" s="10">
        <v>42253</v>
      </c>
    </row>
    <row r="111" spans="1:17" ht="15.75" customHeight="1" x14ac:dyDescent="0.2">
      <c r="A111" s="1" t="s">
        <v>17</v>
      </c>
      <c r="B111" s="9">
        <v>42249</v>
      </c>
      <c r="C111" s="7">
        <f t="shared" si="0"/>
        <v>2015</v>
      </c>
      <c r="D111" s="7">
        <v>101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/>
      <c r="M111" s="7"/>
      <c r="N111" s="7"/>
      <c r="Q111" s="10">
        <v>42246</v>
      </c>
    </row>
    <row r="112" spans="1:17" ht="15.75" customHeight="1" x14ac:dyDescent="0.2">
      <c r="A112" s="1" t="s">
        <v>18</v>
      </c>
      <c r="B112" s="9">
        <v>42249</v>
      </c>
      <c r="C112" s="7">
        <f t="shared" si="0"/>
        <v>2015</v>
      </c>
      <c r="D112" s="7">
        <v>109</v>
      </c>
      <c r="E112" s="7">
        <v>15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/>
      <c r="M112" s="7"/>
      <c r="N112" s="7"/>
      <c r="Q112" s="10">
        <v>42246</v>
      </c>
    </row>
    <row r="113" spans="1:17" ht="15.75" customHeight="1" x14ac:dyDescent="0.2">
      <c r="A113" s="1" t="s">
        <v>19</v>
      </c>
      <c r="B113" s="9">
        <v>42248</v>
      </c>
      <c r="C113" s="7">
        <f t="shared" si="0"/>
        <v>2015</v>
      </c>
      <c r="D113" s="7">
        <v>100</v>
      </c>
      <c r="E113" s="7">
        <v>2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/>
      <c r="M113" s="7"/>
      <c r="N113" s="7"/>
      <c r="Q113" s="10">
        <v>42246</v>
      </c>
    </row>
    <row r="114" spans="1:17" ht="15.75" customHeight="1" x14ac:dyDescent="0.2">
      <c r="A114" s="1" t="s">
        <v>19</v>
      </c>
      <c r="B114" s="9">
        <v>42241</v>
      </c>
      <c r="C114" s="7">
        <f t="shared" si="0"/>
        <v>2015</v>
      </c>
      <c r="D114" s="7">
        <v>103</v>
      </c>
      <c r="E114" s="7">
        <v>1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/>
      <c r="M114" s="7"/>
      <c r="N114" s="7"/>
      <c r="Q114" s="10">
        <v>42239</v>
      </c>
    </row>
    <row r="115" spans="1:17" ht="15.75" customHeight="1" x14ac:dyDescent="0.2">
      <c r="A115" s="1" t="s">
        <v>17</v>
      </c>
      <c r="B115" s="9">
        <v>42240</v>
      </c>
      <c r="C115" s="7">
        <f t="shared" si="0"/>
        <v>2015</v>
      </c>
      <c r="D115" s="7">
        <v>100</v>
      </c>
      <c r="E115" s="7">
        <v>10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/>
      <c r="M115" s="7"/>
      <c r="N115" s="7"/>
      <c r="Q115" s="10">
        <v>42239</v>
      </c>
    </row>
    <row r="116" spans="1:17" ht="15.75" customHeight="1" x14ac:dyDescent="0.2">
      <c r="A116" s="1" t="s">
        <v>19</v>
      </c>
      <c r="B116" s="9">
        <v>42236</v>
      </c>
      <c r="C116" s="7">
        <f t="shared" si="0"/>
        <v>2015</v>
      </c>
      <c r="D116" s="7">
        <v>100</v>
      </c>
      <c r="E116" s="7">
        <v>2</v>
      </c>
      <c r="F116" s="7">
        <v>1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/>
      <c r="M116" s="7"/>
      <c r="N116" s="7"/>
      <c r="Q116" s="10">
        <v>42232</v>
      </c>
    </row>
    <row r="117" spans="1:17" ht="15.75" customHeight="1" x14ac:dyDescent="0.2">
      <c r="A117" s="1" t="s">
        <v>17</v>
      </c>
      <c r="B117" s="9">
        <v>42236</v>
      </c>
      <c r="C117" s="7">
        <f t="shared" si="0"/>
        <v>2015</v>
      </c>
      <c r="D117" s="7">
        <v>101</v>
      </c>
      <c r="E117" s="7">
        <v>15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/>
      <c r="M117" s="7"/>
      <c r="N117" s="7"/>
      <c r="Q117" s="10">
        <v>42232</v>
      </c>
    </row>
    <row r="118" spans="1:17" ht="15.75" customHeight="1" x14ac:dyDescent="0.2">
      <c r="A118" s="1" t="s">
        <v>18</v>
      </c>
      <c r="B118" s="9">
        <v>42236</v>
      </c>
      <c r="C118" s="7">
        <f t="shared" si="0"/>
        <v>2015</v>
      </c>
      <c r="D118" s="7">
        <v>100</v>
      </c>
      <c r="E118" s="7">
        <v>19</v>
      </c>
      <c r="F118" s="7">
        <v>0</v>
      </c>
      <c r="G118" s="7">
        <v>0</v>
      </c>
      <c r="H118" s="7">
        <v>0</v>
      </c>
      <c r="I118" s="7">
        <v>1</v>
      </c>
      <c r="J118" s="7">
        <v>1</v>
      </c>
      <c r="K118" s="7">
        <v>0</v>
      </c>
      <c r="L118" s="7"/>
      <c r="M118" s="7"/>
      <c r="N118" s="7"/>
      <c r="Q118" s="10">
        <v>42232</v>
      </c>
    </row>
    <row r="119" spans="1:17" ht="15.75" customHeight="1" x14ac:dyDescent="0.2">
      <c r="A119" s="1" t="s">
        <v>17</v>
      </c>
      <c r="B119" s="9">
        <v>42229</v>
      </c>
      <c r="C119" s="7">
        <f t="shared" si="0"/>
        <v>2015</v>
      </c>
      <c r="D119" s="7">
        <v>107</v>
      </c>
      <c r="E119" s="7">
        <v>52</v>
      </c>
      <c r="F119" s="7">
        <v>0</v>
      </c>
      <c r="G119" s="7">
        <v>1</v>
      </c>
      <c r="H119" s="7">
        <v>0</v>
      </c>
      <c r="I119" s="7">
        <v>0</v>
      </c>
      <c r="J119" s="7">
        <v>0</v>
      </c>
      <c r="K119" s="7">
        <v>0</v>
      </c>
      <c r="L119" s="7"/>
      <c r="M119" s="7"/>
      <c r="N119" s="7"/>
      <c r="Q119" s="10">
        <v>42225</v>
      </c>
    </row>
    <row r="120" spans="1:17" ht="15.75" customHeight="1" x14ac:dyDescent="0.2">
      <c r="A120" s="1" t="s">
        <v>19</v>
      </c>
      <c r="B120" s="9">
        <v>42227</v>
      </c>
      <c r="C120" s="7">
        <f t="shared" si="0"/>
        <v>2015</v>
      </c>
      <c r="D120" s="7">
        <v>107</v>
      </c>
      <c r="E120" s="7">
        <v>8</v>
      </c>
      <c r="F120" s="7">
        <v>2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/>
      <c r="M120" s="7"/>
      <c r="N120" s="7"/>
      <c r="Q120" s="10">
        <v>42225</v>
      </c>
    </row>
    <row r="121" spans="1:17" ht="15.75" customHeight="1" x14ac:dyDescent="0.2">
      <c r="A121" s="1" t="s">
        <v>18</v>
      </c>
      <c r="B121" s="9">
        <v>42227</v>
      </c>
      <c r="C121" s="7">
        <f t="shared" si="0"/>
        <v>2015</v>
      </c>
      <c r="D121" s="7">
        <v>100</v>
      </c>
      <c r="E121" s="7">
        <v>12</v>
      </c>
      <c r="F121" s="7">
        <v>6</v>
      </c>
      <c r="G121" s="7">
        <v>0</v>
      </c>
      <c r="H121" s="7">
        <v>0</v>
      </c>
      <c r="I121" s="7">
        <v>0</v>
      </c>
      <c r="J121" s="7">
        <v>1</v>
      </c>
      <c r="K121" s="7">
        <v>0</v>
      </c>
      <c r="L121" s="7"/>
      <c r="M121" s="7"/>
      <c r="N121" s="7"/>
      <c r="Q121" s="10">
        <v>42225</v>
      </c>
    </row>
    <row r="122" spans="1:17" ht="15.75" customHeight="1" x14ac:dyDescent="0.2">
      <c r="A122" s="1" t="s">
        <v>17</v>
      </c>
      <c r="B122" s="9">
        <v>42222</v>
      </c>
      <c r="C122" s="7">
        <f t="shared" si="0"/>
        <v>2015</v>
      </c>
      <c r="D122" s="7">
        <v>113</v>
      </c>
      <c r="E122" s="7">
        <v>101</v>
      </c>
      <c r="F122" s="7">
        <v>2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/>
      <c r="M122" s="7"/>
      <c r="N122" s="7"/>
      <c r="Q122" s="10">
        <v>42218</v>
      </c>
    </row>
    <row r="123" spans="1:17" ht="15.75" customHeight="1" x14ac:dyDescent="0.2">
      <c r="A123" s="1" t="s">
        <v>18</v>
      </c>
      <c r="B123" s="9">
        <v>42222</v>
      </c>
      <c r="C123" s="7">
        <f t="shared" si="0"/>
        <v>2015</v>
      </c>
      <c r="D123" s="7">
        <v>111</v>
      </c>
      <c r="E123" s="7">
        <v>19</v>
      </c>
      <c r="F123" s="7">
        <v>1</v>
      </c>
      <c r="G123" s="7">
        <v>0</v>
      </c>
      <c r="H123" s="7">
        <v>1</v>
      </c>
      <c r="I123" s="7">
        <v>1</v>
      </c>
      <c r="J123" s="7">
        <v>0</v>
      </c>
      <c r="K123" s="7">
        <v>0</v>
      </c>
      <c r="L123" s="7"/>
      <c r="M123" s="7"/>
      <c r="N123" s="7"/>
      <c r="Q123" s="10">
        <v>42218</v>
      </c>
    </row>
    <row r="124" spans="1:17" ht="15.75" customHeight="1" x14ac:dyDescent="0.2">
      <c r="A124" s="1" t="s">
        <v>19</v>
      </c>
      <c r="B124" s="9">
        <v>42220</v>
      </c>
      <c r="C124" s="7">
        <f t="shared" si="0"/>
        <v>2015</v>
      </c>
      <c r="D124" s="7">
        <v>130</v>
      </c>
      <c r="E124" s="7">
        <v>36</v>
      </c>
      <c r="F124" s="7">
        <v>1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/>
      <c r="M124" s="7"/>
      <c r="N124" s="7"/>
      <c r="Q124" s="10">
        <v>42218</v>
      </c>
    </row>
    <row r="125" spans="1:17" ht="15.75" customHeight="1" x14ac:dyDescent="0.2">
      <c r="A125" s="1" t="s">
        <v>17</v>
      </c>
      <c r="B125" s="9">
        <v>42215</v>
      </c>
      <c r="C125" s="7">
        <f t="shared" si="0"/>
        <v>2015</v>
      </c>
      <c r="D125" s="7">
        <v>105</v>
      </c>
      <c r="E125" s="7">
        <v>52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/>
      <c r="M125" s="7"/>
      <c r="N125" s="7"/>
      <c r="Q125" s="10">
        <v>42211</v>
      </c>
    </row>
    <row r="126" spans="1:17" ht="15.75" customHeight="1" x14ac:dyDescent="0.2">
      <c r="A126" s="1" t="s">
        <v>18</v>
      </c>
      <c r="B126" s="9">
        <v>42215</v>
      </c>
      <c r="C126" s="7">
        <f t="shared" si="0"/>
        <v>2015</v>
      </c>
      <c r="D126" s="7">
        <v>103</v>
      </c>
      <c r="E126" s="7">
        <v>38</v>
      </c>
      <c r="F126" s="7">
        <v>1</v>
      </c>
      <c r="G126" s="7">
        <v>1</v>
      </c>
      <c r="H126" s="7">
        <v>1</v>
      </c>
      <c r="I126" s="7">
        <v>0</v>
      </c>
      <c r="J126" s="7">
        <v>0</v>
      </c>
      <c r="K126" s="7">
        <v>0</v>
      </c>
      <c r="L126" s="7"/>
      <c r="M126" s="7"/>
      <c r="N126" s="7"/>
      <c r="Q126" s="10">
        <v>42211</v>
      </c>
    </row>
    <row r="127" spans="1:17" ht="15.75" customHeight="1" x14ac:dyDescent="0.2">
      <c r="A127" s="1" t="s">
        <v>19</v>
      </c>
      <c r="B127" s="9">
        <v>42213</v>
      </c>
      <c r="C127" s="7">
        <f t="shared" si="0"/>
        <v>2015</v>
      </c>
      <c r="D127" s="7">
        <v>105</v>
      </c>
      <c r="E127" s="7">
        <v>7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7"/>
      <c r="M127" s="7"/>
      <c r="N127" s="7"/>
      <c r="Q127" s="10">
        <v>42211</v>
      </c>
    </row>
    <row r="128" spans="1:17" ht="15.75" customHeight="1" x14ac:dyDescent="0.2">
      <c r="A128" s="1" t="s">
        <v>17</v>
      </c>
      <c r="B128" s="9">
        <v>42208</v>
      </c>
      <c r="C128" s="7">
        <f t="shared" si="0"/>
        <v>2015</v>
      </c>
      <c r="D128" s="7">
        <v>107</v>
      </c>
      <c r="E128" s="7">
        <v>93</v>
      </c>
      <c r="F128" s="7">
        <v>2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/>
      <c r="M128" s="7"/>
      <c r="N128" s="7"/>
      <c r="Q128" s="10">
        <v>42204</v>
      </c>
    </row>
    <row r="129" spans="1:17" ht="15.75" customHeight="1" x14ac:dyDescent="0.2">
      <c r="A129" s="1" t="s">
        <v>18</v>
      </c>
      <c r="B129" s="9">
        <v>42208</v>
      </c>
      <c r="C129" s="7">
        <f t="shared" si="0"/>
        <v>2015</v>
      </c>
      <c r="D129" s="7">
        <v>100</v>
      </c>
      <c r="E129" s="7">
        <v>102</v>
      </c>
      <c r="F129" s="7">
        <v>6</v>
      </c>
      <c r="G129" s="7">
        <v>3</v>
      </c>
      <c r="H129" s="7">
        <v>1</v>
      </c>
      <c r="I129" s="7">
        <v>0</v>
      </c>
      <c r="J129" s="7">
        <v>0</v>
      </c>
      <c r="K129" s="7">
        <v>0</v>
      </c>
      <c r="L129" s="7"/>
      <c r="M129" s="7"/>
      <c r="N129" s="7"/>
      <c r="Q129" s="10">
        <v>42204</v>
      </c>
    </row>
    <row r="130" spans="1:17" ht="15.75" customHeight="1" x14ac:dyDescent="0.2">
      <c r="A130" s="1" t="s">
        <v>19</v>
      </c>
      <c r="B130" s="9">
        <v>42206</v>
      </c>
      <c r="C130" s="7">
        <f t="shared" si="0"/>
        <v>2015</v>
      </c>
      <c r="D130" s="7">
        <v>100</v>
      </c>
      <c r="E130" s="7">
        <v>22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/>
      <c r="M130" s="7"/>
      <c r="N130" s="7"/>
      <c r="Q130" s="10">
        <v>42204</v>
      </c>
    </row>
    <row r="131" spans="1:17" ht="15.75" customHeight="1" x14ac:dyDescent="0.2">
      <c r="A131" s="1" t="s">
        <v>17</v>
      </c>
      <c r="B131" s="9">
        <v>42201</v>
      </c>
      <c r="C131" s="7">
        <f t="shared" si="0"/>
        <v>2015</v>
      </c>
      <c r="D131" s="7">
        <v>103</v>
      </c>
      <c r="E131" s="7">
        <v>71</v>
      </c>
      <c r="F131" s="7">
        <v>0</v>
      </c>
      <c r="G131" s="7">
        <v>2</v>
      </c>
      <c r="H131" s="7">
        <v>1</v>
      </c>
      <c r="I131" s="7">
        <v>0</v>
      </c>
      <c r="J131" s="7">
        <v>1</v>
      </c>
      <c r="K131" s="7">
        <v>0</v>
      </c>
      <c r="L131" s="7"/>
      <c r="M131" s="7"/>
      <c r="N131" s="7"/>
      <c r="Q131" s="10">
        <v>42197</v>
      </c>
    </row>
    <row r="132" spans="1:17" ht="15.75" customHeight="1" x14ac:dyDescent="0.2">
      <c r="A132" s="1" t="s">
        <v>18</v>
      </c>
      <c r="B132" s="9">
        <v>42201</v>
      </c>
      <c r="C132" s="7">
        <f t="shared" si="0"/>
        <v>2015</v>
      </c>
      <c r="D132" s="7">
        <v>100</v>
      </c>
      <c r="E132" s="7">
        <v>27</v>
      </c>
      <c r="F132" s="7">
        <v>1</v>
      </c>
      <c r="G132" s="7">
        <v>0</v>
      </c>
      <c r="H132" s="7">
        <v>0</v>
      </c>
      <c r="I132" s="7">
        <v>2</v>
      </c>
      <c r="J132" s="7">
        <v>1</v>
      </c>
      <c r="K132" s="7">
        <v>0</v>
      </c>
      <c r="L132" s="7"/>
      <c r="M132" s="7"/>
      <c r="N132" s="7"/>
      <c r="Q132" s="10">
        <v>42197</v>
      </c>
    </row>
    <row r="133" spans="1:17" ht="15.75" customHeight="1" x14ac:dyDescent="0.2">
      <c r="A133" s="1" t="s">
        <v>19</v>
      </c>
      <c r="B133" s="9">
        <v>42199</v>
      </c>
      <c r="C133" s="7">
        <f t="shared" si="0"/>
        <v>2015</v>
      </c>
      <c r="D133" s="7">
        <v>102</v>
      </c>
      <c r="E133" s="7">
        <v>14</v>
      </c>
      <c r="F133" s="7">
        <v>0</v>
      </c>
      <c r="G133" s="7">
        <v>1</v>
      </c>
      <c r="H133" s="7">
        <v>0</v>
      </c>
      <c r="I133" s="7">
        <v>0</v>
      </c>
      <c r="J133" s="7">
        <v>0</v>
      </c>
      <c r="K133" s="7">
        <v>0</v>
      </c>
      <c r="L133" s="7"/>
      <c r="M133" s="7"/>
      <c r="N133" s="7"/>
      <c r="Q133" s="10">
        <v>42197</v>
      </c>
    </row>
    <row r="134" spans="1:17" ht="15.75" customHeight="1" x14ac:dyDescent="0.2">
      <c r="A134" s="1" t="s">
        <v>17</v>
      </c>
      <c r="B134" s="9">
        <v>42194</v>
      </c>
      <c r="C134" s="7">
        <f t="shared" si="0"/>
        <v>2015</v>
      </c>
      <c r="D134" s="7">
        <v>127</v>
      </c>
      <c r="E134" s="7">
        <v>42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/>
      <c r="M134" s="7"/>
      <c r="N134" s="7"/>
      <c r="Q134" s="10">
        <v>42190</v>
      </c>
    </row>
    <row r="135" spans="1:17" ht="15.75" customHeight="1" x14ac:dyDescent="0.2">
      <c r="A135" s="1" t="s">
        <v>18</v>
      </c>
      <c r="B135" s="9">
        <v>42194</v>
      </c>
      <c r="C135" s="7">
        <f t="shared" si="0"/>
        <v>2015</v>
      </c>
      <c r="D135" s="7">
        <v>100</v>
      </c>
      <c r="E135" s="7">
        <v>8</v>
      </c>
      <c r="F135" s="7">
        <v>0</v>
      </c>
      <c r="G135" s="7">
        <v>0</v>
      </c>
      <c r="H135" s="7">
        <v>0</v>
      </c>
      <c r="I135" s="7">
        <v>2</v>
      </c>
      <c r="J135" s="7">
        <v>1</v>
      </c>
      <c r="K135" s="7">
        <v>0</v>
      </c>
      <c r="L135" s="7"/>
      <c r="M135" s="7"/>
      <c r="N135" s="7"/>
      <c r="Q135" s="10">
        <v>42190</v>
      </c>
    </row>
    <row r="136" spans="1:17" ht="15.75" customHeight="1" x14ac:dyDescent="0.2">
      <c r="A136" s="1" t="s">
        <v>19</v>
      </c>
      <c r="B136" s="9">
        <v>42192</v>
      </c>
      <c r="C136" s="7">
        <f t="shared" si="0"/>
        <v>2015</v>
      </c>
      <c r="D136" s="7">
        <v>116</v>
      </c>
      <c r="E136" s="7">
        <v>7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/>
      <c r="M136" s="7"/>
      <c r="N136" s="7"/>
      <c r="Q136" s="10">
        <v>42190</v>
      </c>
    </row>
    <row r="137" spans="1:17" ht="15.75" customHeight="1" x14ac:dyDescent="0.2">
      <c r="A137" s="1" t="s">
        <v>17</v>
      </c>
      <c r="B137" s="9">
        <v>42187</v>
      </c>
      <c r="C137" s="7">
        <f t="shared" si="0"/>
        <v>2015</v>
      </c>
      <c r="D137" s="7">
        <v>101</v>
      </c>
      <c r="E137" s="7">
        <v>28</v>
      </c>
      <c r="F137" s="7">
        <v>1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/>
      <c r="M137" s="7"/>
      <c r="N137" s="7"/>
      <c r="Q137" s="10">
        <v>42183</v>
      </c>
    </row>
    <row r="138" spans="1:17" ht="15.75" customHeight="1" x14ac:dyDescent="0.2">
      <c r="A138" s="1" t="s">
        <v>18</v>
      </c>
      <c r="B138" s="9">
        <v>42187</v>
      </c>
      <c r="C138" s="7">
        <f t="shared" si="0"/>
        <v>2015</v>
      </c>
      <c r="D138" s="7">
        <v>100</v>
      </c>
      <c r="E138" s="7">
        <v>0</v>
      </c>
      <c r="F138" s="7">
        <v>1</v>
      </c>
      <c r="G138" s="7">
        <v>0</v>
      </c>
      <c r="H138" s="7">
        <v>0</v>
      </c>
      <c r="I138" s="7">
        <v>0</v>
      </c>
      <c r="J138" s="7">
        <v>1</v>
      </c>
      <c r="K138" s="7">
        <v>0</v>
      </c>
      <c r="L138" s="7"/>
      <c r="M138" s="7"/>
      <c r="N138" s="7"/>
      <c r="Q138" s="10">
        <v>42183</v>
      </c>
    </row>
    <row r="139" spans="1:17" ht="15.75" customHeight="1" x14ac:dyDescent="0.2">
      <c r="A139" s="1" t="s">
        <v>19</v>
      </c>
      <c r="B139" s="9">
        <v>42185</v>
      </c>
      <c r="C139" s="7">
        <f t="shared" si="0"/>
        <v>2015</v>
      </c>
      <c r="D139" s="7">
        <v>103</v>
      </c>
      <c r="E139" s="7">
        <v>0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7">
        <v>0</v>
      </c>
      <c r="L139" s="7"/>
      <c r="M139" s="7"/>
      <c r="N139" s="7"/>
      <c r="Q139" s="10">
        <v>42183</v>
      </c>
    </row>
    <row r="140" spans="1:17" ht="15.75" customHeight="1" x14ac:dyDescent="0.2">
      <c r="A140" s="1" t="s">
        <v>18</v>
      </c>
      <c r="B140" s="9">
        <v>42180</v>
      </c>
      <c r="C140" s="7">
        <f t="shared" si="0"/>
        <v>2015</v>
      </c>
      <c r="D140" s="7">
        <v>111</v>
      </c>
      <c r="E140" s="7">
        <v>0</v>
      </c>
      <c r="F140" s="7">
        <v>3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/>
      <c r="M140" s="7"/>
      <c r="N140" s="7"/>
      <c r="Q140" s="10">
        <v>42176</v>
      </c>
    </row>
    <row r="141" spans="1:17" ht="15.75" customHeight="1" x14ac:dyDescent="0.2">
      <c r="A141" s="1" t="s">
        <v>19</v>
      </c>
      <c r="B141" s="9">
        <v>42178</v>
      </c>
      <c r="C141" s="7">
        <f t="shared" si="0"/>
        <v>2015</v>
      </c>
      <c r="D141" s="7">
        <v>107</v>
      </c>
      <c r="E141" s="7">
        <v>0</v>
      </c>
      <c r="F141" s="7">
        <v>0</v>
      </c>
      <c r="G141" s="7">
        <v>2</v>
      </c>
      <c r="H141" s="7">
        <v>0</v>
      </c>
      <c r="I141" s="7">
        <v>0</v>
      </c>
      <c r="J141" s="7">
        <v>0</v>
      </c>
      <c r="K141" s="7">
        <v>0</v>
      </c>
      <c r="L141" s="7"/>
      <c r="M141" s="7"/>
      <c r="N141" s="7"/>
      <c r="Q141" s="10">
        <v>42176</v>
      </c>
    </row>
    <row r="142" spans="1:17" ht="15.75" customHeight="1" x14ac:dyDescent="0.2">
      <c r="A142" s="1" t="s">
        <v>18</v>
      </c>
      <c r="B142" s="9">
        <v>41900</v>
      </c>
      <c r="C142" s="7">
        <f t="shared" si="0"/>
        <v>2014</v>
      </c>
      <c r="D142" s="7">
        <v>100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/>
      <c r="M142" s="7"/>
      <c r="N142" s="7"/>
      <c r="Q142" s="10">
        <v>41896</v>
      </c>
    </row>
    <row r="143" spans="1:17" ht="15.75" customHeight="1" x14ac:dyDescent="0.2">
      <c r="A143" s="1" t="s">
        <v>17</v>
      </c>
      <c r="B143" s="9">
        <v>41899</v>
      </c>
      <c r="C143" s="7">
        <f t="shared" si="0"/>
        <v>2014</v>
      </c>
      <c r="D143" s="7">
        <v>101</v>
      </c>
      <c r="E143" s="7">
        <v>2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/>
      <c r="M143" s="7"/>
      <c r="N143" s="7"/>
      <c r="Q143" s="10">
        <v>41896</v>
      </c>
    </row>
    <row r="144" spans="1:17" ht="15.75" customHeight="1" x14ac:dyDescent="0.2">
      <c r="A144" s="1" t="s">
        <v>19</v>
      </c>
      <c r="B144" s="9">
        <v>41887</v>
      </c>
      <c r="C144" s="7">
        <f t="shared" si="0"/>
        <v>2014</v>
      </c>
      <c r="D144" s="7">
        <v>103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/>
      <c r="M144" s="7"/>
      <c r="N144" s="7"/>
      <c r="Q144" s="10">
        <v>41882</v>
      </c>
    </row>
    <row r="145" spans="1:17" ht="15.75" customHeight="1" x14ac:dyDescent="0.2">
      <c r="A145" s="1" t="s">
        <v>18</v>
      </c>
      <c r="B145" s="9">
        <v>41879</v>
      </c>
      <c r="C145" s="7">
        <f t="shared" si="0"/>
        <v>2014</v>
      </c>
      <c r="D145" s="7">
        <v>101</v>
      </c>
      <c r="E145" s="7">
        <v>11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0</v>
      </c>
      <c r="L145" s="7"/>
      <c r="M145" s="7"/>
      <c r="N145" s="7"/>
      <c r="Q145" s="10">
        <v>41875</v>
      </c>
    </row>
    <row r="146" spans="1:17" ht="15.75" customHeight="1" x14ac:dyDescent="0.2">
      <c r="A146" s="1" t="s">
        <v>17</v>
      </c>
      <c r="B146" s="9">
        <v>41873</v>
      </c>
      <c r="C146" s="7">
        <f t="shared" si="0"/>
        <v>2014</v>
      </c>
      <c r="D146" s="7">
        <v>70</v>
      </c>
      <c r="E146" s="7">
        <v>7</v>
      </c>
      <c r="F146" s="7">
        <v>0</v>
      </c>
      <c r="G146" s="7">
        <v>3</v>
      </c>
      <c r="H146" s="7">
        <v>0</v>
      </c>
      <c r="I146" s="7">
        <v>0</v>
      </c>
      <c r="J146" s="7">
        <v>0</v>
      </c>
      <c r="K146" s="7">
        <v>0</v>
      </c>
      <c r="L146" s="7"/>
      <c r="M146" s="7"/>
      <c r="N146" s="7"/>
      <c r="Q146" s="10">
        <v>41868</v>
      </c>
    </row>
    <row r="147" spans="1:17" ht="15.75" customHeight="1" x14ac:dyDescent="0.2">
      <c r="A147" s="1" t="s">
        <v>18</v>
      </c>
      <c r="B147" s="9">
        <v>41873</v>
      </c>
      <c r="C147" s="7">
        <f t="shared" si="0"/>
        <v>2014</v>
      </c>
      <c r="D147" s="7">
        <v>100</v>
      </c>
      <c r="E147" s="7">
        <v>3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/>
      <c r="M147" s="7"/>
      <c r="N147" s="7"/>
      <c r="Q147" s="10">
        <v>41868</v>
      </c>
    </row>
    <row r="148" spans="1:17" ht="15.75" customHeight="1" x14ac:dyDescent="0.2">
      <c r="A148" s="1" t="s">
        <v>17</v>
      </c>
      <c r="B148" s="9">
        <v>41865</v>
      </c>
      <c r="C148" s="7">
        <f t="shared" si="0"/>
        <v>2014</v>
      </c>
      <c r="D148" s="7">
        <v>101</v>
      </c>
      <c r="E148" s="7">
        <v>7</v>
      </c>
      <c r="F148" s="7">
        <v>1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/>
      <c r="M148" s="7"/>
      <c r="N148" s="7"/>
      <c r="Q148" s="10">
        <v>41861</v>
      </c>
    </row>
    <row r="149" spans="1:17" ht="15.75" customHeight="1" x14ac:dyDescent="0.2">
      <c r="A149" s="1" t="s">
        <v>19</v>
      </c>
      <c r="B149" s="9">
        <v>41864</v>
      </c>
      <c r="C149" s="7">
        <f t="shared" si="0"/>
        <v>2014</v>
      </c>
      <c r="D149" s="7">
        <v>100</v>
      </c>
      <c r="E149" s="7">
        <v>0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/>
      <c r="M149" s="7"/>
      <c r="N149" s="7"/>
      <c r="Q149" s="10">
        <v>41861</v>
      </c>
    </row>
    <row r="150" spans="1:17" ht="15.75" customHeight="1" x14ac:dyDescent="0.2">
      <c r="A150" s="1" t="s">
        <v>17</v>
      </c>
      <c r="B150" s="9">
        <v>41858</v>
      </c>
      <c r="C150" s="7">
        <f t="shared" si="0"/>
        <v>2014</v>
      </c>
      <c r="D150" s="7">
        <v>100</v>
      </c>
      <c r="E150" s="7">
        <v>8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/>
      <c r="M150" s="7"/>
      <c r="N150" s="7"/>
      <c r="Q150" s="10">
        <v>41854</v>
      </c>
    </row>
    <row r="151" spans="1:17" ht="15.75" customHeight="1" x14ac:dyDescent="0.2">
      <c r="A151" s="1" t="s">
        <v>18</v>
      </c>
      <c r="B151" s="9">
        <v>41858</v>
      </c>
      <c r="C151" s="7">
        <f t="shared" si="0"/>
        <v>2014</v>
      </c>
      <c r="D151" s="7">
        <v>100</v>
      </c>
      <c r="E151" s="7">
        <v>8</v>
      </c>
      <c r="F151" s="7">
        <v>0</v>
      </c>
      <c r="G151" s="7">
        <v>1</v>
      </c>
      <c r="H151" s="7">
        <v>0</v>
      </c>
      <c r="I151" s="7">
        <v>0</v>
      </c>
      <c r="J151" s="7">
        <v>0</v>
      </c>
      <c r="K151" s="7">
        <v>0</v>
      </c>
      <c r="L151" s="7"/>
      <c r="M151" s="7"/>
      <c r="N151" s="7"/>
      <c r="Q151" s="10">
        <v>41854</v>
      </c>
    </row>
    <row r="152" spans="1:17" ht="15.75" customHeight="1" x14ac:dyDescent="0.2">
      <c r="A152" s="1" t="s">
        <v>19</v>
      </c>
      <c r="B152" s="9">
        <v>41855</v>
      </c>
      <c r="C152" s="7">
        <f t="shared" si="0"/>
        <v>2014</v>
      </c>
      <c r="D152" s="7">
        <v>100</v>
      </c>
      <c r="E152" s="7">
        <v>2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/>
      <c r="M152" s="7"/>
      <c r="N152" s="7"/>
      <c r="Q152" s="10">
        <v>41854</v>
      </c>
    </row>
    <row r="153" spans="1:17" ht="15.75" customHeight="1" x14ac:dyDescent="0.2">
      <c r="A153" s="1" t="s">
        <v>17</v>
      </c>
      <c r="B153" s="9">
        <v>41851</v>
      </c>
      <c r="C153" s="7">
        <f t="shared" si="0"/>
        <v>2014</v>
      </c>
      <c r="D153" s="7">
        <v>102</v>
      </c>
      <c r="E153" s="7">
        <v>5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/>
      <c r="M153" s="7"/>
      <c r="N153" s="7"/>
      <c r="Q153" s="10">
        <v>41847</v>
      </c>
    </row>
    <row r="154" spans="1:17" ht="15.75" customHeight="1" x14ac:dyDescent="0.2">
      <c r="A154" s="1" t="s">
        <v>18</v>
      </c>
      <c r="B154" s="9">
        <v>41851</v>
      </c>
      <c r="C154" s="7">
        <f t="shared" si="0"/>
        <v>2014</v>
      </c>
      <c r="D154" s="7">
        <v>100</v>
      </c>
      <c r="E154" s="7">
        <v>12</v>
      </c>
      <c r="F154" s="7">
        <v>0</v>
      </c>
      <c r="G154" s="7">
        <v>0</v>
      </c>
      <c r="H154" s="7">
        <v>0</v>
      </c>
      <c r="I154" s="7">
        <v>1</v>
      </c>
      <c r="J154" s="7">
        <v>0</v>
      </c>
      <c r="K154" s="7">
        <v>0</v>
      </c>
      <c r="L154" s="7"/>
      <c r="M154" s="7"/>
      <c r="N154" s="7"/>
      <c r="Q154" s="10">
        <v>41847</v>
      </c>
    </row>
    <row r="155" spans="1:17" ht="15.75" customHeight="1" x14ac:dyDescent="0.2">
      <c r="A155" s="1" t="s">
        <v>19</v>
      </c>
      <c r="B155" s="9">
        <v>41850</v>
      </c>
      <c r="C155" s="7">
        <f t="shared" si="0"/>
        <v>2014</v>
      </c>
      <c r="D155" s="7">
        <v>104</v>
      </c>
      <c r="E155" s="7">
        <v>1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/>
      <c r="M155" s="7"/>
      <c r="N155" s="7"/>
      <c r="Q155" s="10">
        <v>41847</v>
      </c>
    </row>
    <row r="156" spans="1:17" ht="15.75" customHeight="1" x14ac:dyDescent="0.2">
      <c r="A156" s="1" t="s">
        <v>17</v>
      </c>
      <c r="B156" s="9">
        <v>41844</v>
      </c>
      <c r="C156" s="7">
        <f t="shared" si="0"/>
        <v>2014</v>
      </c>
      <c r="D156" s="7">
        <v>101</v>
      </c>
      <c r="E156" s="7">
        <v>6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/>
      <c r="M156" s="7"/>
      <c r="N156" s="7"/>
      <c r="Q156" s="10">
        <v>41840</v>
      </c>
    </row>
    <row r="157" spans="1:17" ht="15.75" customHeight="1" x14ac:dyDescent="0.2">
      <c r="A157" s="1" t="s">
        <v>18</v>
      </c>
      <c r="B157" s="9">
        <v>41844</v>
      </c>
      <c r="C157" s="7">
        <f t="shared" si="0"/>
        <v>2014</v>
      </c>
      <c r="D157" s="7">
        <v>101</v>
      </c>
      <c r="E157" s="7">
        <v>36</v>
      </c>
      <c r="F157" s="7">
        <v>2</v>
      </c>
      <c r="G157" s="7">
        <v>2</v>
      </c>
      <c r="H157" s="7">
        <v>1</v>
      </c>
      <c r="I157" s="7">
        <v>0</v>
      </c>
      <c r="J157" s="7">
        <v>0</v>
      </c>
      <c r="K157" s="7">
        <v>0</v>
      </c>
      <c r="L157" s="7"/>
      <c r="M157" s="7"/>
      <c r="N157" s="7"/>
      <c r="Q157" s="10">
        <v>41840</v>
      </c>
    </row>
    <row r="158" spans="1:17" ht="15.75" customHeight="1" x14ac:dyDescent="0.2">
      <c r="A158" s="1" t="s">
        <v>19</v>
      </c>
      <c r="B158" s="9">
        <v>41843</v>
      </c>
      <c r="C158" s="7">
        <f t="shared" si="0"/>
        <v>2014</v>
      </c>
      <c r="D158" s="7">
        <v>100</v>
      </c>
      <c r="E158" s="7">
        <v>0</v>
      </c>
      <c r="F158" s="7">
        <v>0</v>
      </c>
      <c r="G158" s="7">
        <v>0</v>
      </c>
      <c r="H158" s="7">
        <v>1</v>
      </c>
      <c r="I158" s="7">
        <v>0</v>
      </c>
      <c r="J158" s="7">
        <v>0</v>
      </c>
      <c r="K158" s="7">
        <v>0</v>
      </c>
      <c r="L158" s="7"/>
      <c r="M158" s="7"/>
      <c r="N158" s="7"/>
      <c r="Q158" s="10">
        <v>41840</v>
      </c>
    </row>
    <row r="159" spans="1:17" ht="15.75" customHeight="1" x14ac:dyDescent="0.2">
      <c r="A159" s="1" t="s">
        <v>18</v>
      </c>
      <c r="B159" s="9">
        <v>41837</v>
      </c>
      <c r="C159" s="7">
        <f t="shared" si="0"/>
        <v>2014</v>
      </c>
      <c r="D159" s="7">
        <v>100</v>
      </c>
      <c r="E159" s="7">
        <v>7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/>
      <c r="M159" s="7"/>
      <c r="N159" s="7"/>
      <c r="Q159" s="10">
        <v>41833</v>
      </c>
    </row>
    <row r="160" spans="1:17" ht="15.75" customHeight="1" x14ac:dyDescent="0.2">
      <c r="A160" s="1" t="s">
        <v>19</v>
      </c>
      <c r="B160" s="9">
        <v>41830</v>
      </c>
      <c r="C160" s="7">
        <f t="shared" si="0"/>
        <v>2014</v>
      </c>
      <c r="D160" s="7">
        <v>104</v>
      </c>
      <c r="E160" s="7">
        <v>5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/>
      <c r="M160" s="7"/>
      <c r="N160" s="7"/>
      <c r="Q160" s="10">
        <v>41826</v>
      </c>
    </row>
    <row r="161" spans="1:17" ht="15.75" customHeight="1" x14ac:dyDescent="0.2">
      <c r="A161" s="1" t="s">
        <v>17</v>
      </c>
      <c r="B161" s="9">
        <v>41830</v>
      </c>
      <c r="C161" s="7">
        <f t="shared" si="0"/>
        <v>2014</v>
      </c>
      <c r="D161" s="7">
        <v>103</v>
      </c>
      <c r="E161" s="7">
        <v>4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/>
      <c r="M161" s="7"/>
      <c r="N161" s="7"/>
      <c r="Q161" s="10">
        <v>41826</v>
      </c>
    </row>
    <row r="162" spans="1:17" ht="15.75" customHeight="1" x14ac:dyDescent="0.2">
      <c r="A162" s="1" t="s">
        <v>19</v>
      </c>
      <c r="B162" s="9">
        <v>41828</v>
      </c>
      <c r="C162" s="7">
        <f t="shared" si="0"/>
        <v>2014</v>
      </c>
      <c r="D162" s="7">
        <v>78</v>
      </c>
      <c r="E162" s="7">
        <v>10</v>
      </c>
      <c r="F162" s="7">
        <v>0</v>
      </c>
      <c r="G162" s="7">
        <v>0</v>
      </c>
      <c r="H162" s="7">
        <v>2</v>
      </c>
      <c r="I162" s="7">
        <v>0</v>
      </c>
      <c r="J162" s="7">
        <v>0</v>
      </c>
      <c r="K162" s="7">
        <v>0</v>
      </c>
      <c r="L162" s="7"/>
      <c r="M162" s="7"/>
      <c r="N162" s="7"/>
      <c r="Q162" s="10">
        <v>41826</v>
      </c>
    </row>
    <row r="163" spans="1:17" ht="15.75" customHeight="1" x14ac:dyDescent="0.2">
      <c r="A163" s="1" t="s">
        <v>17</v>
      </c>
      <c r="B163" s="9">
        <v>41823</v>
      </c>
      <c r="C163" s="7">
        <f t="shared" si="0"/>
        <v>2014</v>
      </c>
      <c r="D163" s="7">
        <v>100</v>
      </c>
      <c r="E163" s="7">
        <v>4</v>
      </c>
      <c r="F163" s="7">
        <v>1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/>
      <c r="M163" s="7"/>
      <c r="N163" s="7"/>
      <c r="Q163" s="10">
        <v>41819</v>
      </c>
    </row>
    <row r="164" spans="1:17" ht="15.75" customHeight="1" x14ac:dyDescent="0.2">
      <c r="A164" s="1" t="s">
        <v>19</v>
      </c>
      <c r="B164" s="9">
        <v>41822</v>
      </c>
      <c r="C164" s="7">
        <f t="shared" si="0"/>
        <v>2014</v>
      </c>
      <c r="D164" s="7">
        <v>70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/>
      <c r="M164" s="7"/>
      <c r="N164" s="7"/>
      <c r="Q164" s="10">
        <v>41819</v>
      </c>
    </row>
    <row r="165" spans="1:17" ht="15.75" customHeight="1" x14ac:dyDescent="0.2">
      <c r="A165" s="1" t="s">
        <v>17</v>
      </c>
      <c r="B165" s="9">
        <v>41809</v>
      </c>
      <c r="C165" s="7">
        <f t="shared" si="0"/>
        <v>2014</v>
      </c>
      <c r="D165" s="7">
        <v>109</v>
      </c>
      <c r="E165" s="7">
        <v>13</v>
      </c>
      <c r="F165" s="7">
        <v>0</v>
      </c>
      <c r="G165" s="7">
        <v>0</v>
      </c>
      <c r="H165" s="7">
        <v>2</v>
      </c>
      <c r="I165" s="7">
        <v>1</v>
      </c>
      <c r="J165" s="7">
        <v>0</v>
      </c>
      <c r="K165" s="7">
        <v>0</v>
      </c>
      <c r="L165" s="7"/>
      <c r="M165" s="7"/>
      <c r="N165" s="7"/>
      <c r="Q165" s="10">
        <v>41805</v>
      </c>
    </row>
    <row r="166" spans="1:17" ht="15.75" customHeight="1" x14ac:dyDescent="0.2">
      <c r="A166" s="1" t="s">
        <v>19</v>
      </c>
      <c r="B166" s="9">
        <v>41512</v>
      </c>
      <c r="C166" s="7">
        <f t="shared" si="0"/>
        <v>2013</v>
      </c>
      <c r="D166" s="7">
        <v>100</v>
      </c>
      <c r="E166" s="7">
        <v>1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/>
      <c r="M166" s="7"/>
      <c r="N166" s="7"/>
      <c r="Q166" s="10">
        <v>41511</v>
      </c>
    </row>
    <row r="167" spans="1:17" ht="15.75" customHeight="1" x14ac:dyDescent="0.2">
      <c r="A167" s="1" t="s">
        <v>17</v>
      </c>
      <c r="B167" s="9">
        <v>41512</v>
      </c>
      <c r="C167" s="7">
        <f t="shared" si="0"/>
        <v>2013</v>
      </c>
      <c r="D167" s="7">
        <v>100</v>
      </c>
      <c r="E167" s="7">
        <v>12</v>
      </c>
      <c r="F167" s="7">
        <v>1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/>
      <c r="M167" s="7"/>
      <c r="N167" s="7"/>
      <c r="Q167" s="10">
        <v>41511</v>
      </c>
    </row>
    <row r="168" spans="1:17" ht="15.75" customHeight="1" x14ac:dyDescent="0.2">
      <c r="A168" s="1" t="s">
        <v>18</v>
      </c>
      <c r="B168" s="9">
        <v>41512</v>
      </c>
      <c r="C168" s="7">
        <f t="shared" si="0"/>
        <v>2013</v>
      </c>
      <c r="D168" s="7">
        <v>100</v>
      </c>
      <c r="E168" s="7">
        <v>6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/>
      <c r="M168" s="7"/>
      <c r="N168" s="7"/>
      <c r="Q168" s="10">
        <v>41511</v>
      </c>
    </row>
    <row r="169" spans="1:17" ht="15.75" customHeight="1" x14ac:dyDescent="0.2">
      <c r="A169" s="1" t="s">
        <v>19</v>
      </c>
      <c r="B169" s="9">
        <v>41505</v>
      </c>
      <c r="C169" s="7">
        <f t="shared" si="0"/>
        <v>2013</v>
      </c>
      <c r="D169" s="7">
        <v>23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/>
      <c r="M169" s="7"/>
      <c r="N169" s="7"/>
      <c r="Q169" s="10">
        <v>41504</v>
      </c>
    </row>
    <row r="170" spans="1:17" ht="15.75" customHeight="1" x14ac:dyDescent="0.2">
      <c r="A170" s="1" t="s">
        <v>17</v>
      </c>
      <c r="B170" s="9">
        <v>41505</v>
      </c>
      <c r="C170" s="7">
        <f t="shared" si="0"/>
        <v>2013</v>
      </c>
      <c r="D170" s="7">
        <v>100</v>
      </c>
      <c r="E170" s="7">
        <v>20</v>
      </c>
      <c r="F170" s="7">
        <v>2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/>
      <c r="M170" s="7"/>
      <c r="N170" s="7"/>
      <c r="Q170" s="10">
        <v>41504</v>
      </c>
    </row>
    <row r="171" spans="1:17" ht="15.75" customHeight="1" x14ac:dyDescent="0.2">
      <c r="A171" s="1" t="s">
        <v>18</v>
      </c>
      <c r="B171" s="9">
        <v>41505</v>
      </c>
      <c r="C171" s="7">
        <f t="shared" si="0"/>
        <v>2013</v>
      </c>
      <c r="D171" s="7">
        <v>100</v>
      </c>
      <c r="E171" s="7">
        <v>5</v>
      </c>
      <c r="F171" s="7">
        <v>0</v>
      </c>
      <c r="G171" s="7">
        <v>1</v>
      </c>
      <c r="H171" s="7">
        <v>0</v>
      </c>
      <c r="I171" s="7">
        <v>0</v>
      </c>
      <c r="J171" s="7">
        <v>0</v>
      </c>
      <c r="K171" s="7">
        <v>0</v>
      </c>
      <c r="L171" s="7"/>
      <c r="M171" s="7"/>
      <c r="N171" s="7"/>
      <c r="Q171" s="10">
        <v>41504</v>
      </c>
    </row>
    <row r="172" spans="1:17" ht="15.75" customHeight="1" x14ac:dyDescent="0.2">
      <c r="A172" s="1" t="s">
        <v>19</v>
      </c>
      <c r="B172" s="9">
        <v>41500</v>
      </c>
      <c r="C172" s="7">
        <f t="shared" si="0"/>
        <v>2013</v>
      </c>
      <c r="D172" s="7">
        <v>103</v>
      </c>
      <c r="E172" s="7">
        <v>4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/>
      <c r="M172" s="7"/>
      <c r="N172" s="7"/>
      <c r="Q172" s="10">
        <v>41497</v>
      </c>
    </row>
    <row r="173" spans="1:17" ht="15.75" customHeight="1" x14ac:dyDescent="0.2">
      <c r="A173" s="1" t="s">
        <v>18</v>
      </c>
      <c r="B173" s="9">
        <v>41500</v>
      </c>
      <c r="C173" s="7">
        <f t="shared" si="0"/>
        <v>2013</v>
      </c>
      <c r="D173" s="7">
        <v>101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/>
      <c r="M173" s="7"/>
      <c r="N173" s="7"/>
      <c r="Q173" s="10">
        <v>41497</v>
      </c>
    </row>
    <row r="174" spans="1:17" ht="15.75" customHeight="1" x14ac:dyDescent="0.2">
      <c r="A174" s="1" t="s">
        <v>17</v>
      </c>
      <c r="B174" s="9">
        <v>41494</v>
      </c>
      <c r="C174" s="7">
        <f t="shared" si="0"/>
        <v>2013</v>
      </c>
      <c r="D174" s="7">
        <v>106</v>
      </c>
      <c r="E174" s="7">
        <v>6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/>
      <c r="M174" s="7"/>
      <c r="N174" s="7"/>
      <c r="Q174" s="10">
        <v>41490</v>
      </c>
    </row>
    <row r="175" spans="1:17" ht="15.75" customHeight="1" x14ac:dyDescent="0.2">
      <c r="A175" s="1" t="s">
        <v>19</v>
      </c>
      <c r="B175" s="9">
        <v>41493</v>
      </c>
      <c r="C175" s="7">
        <f t="shared" si="0"/>
        <v>2013</v>
      </c>
      <c r="D175" s="7">
        <v>103</v>
      </c>
      <c r="E175" s="7">
        <v>3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/>
      <c r="M175" s="7"/>
      <c r="N175" s="7"/>
      <c r="Q175" s="10">
        <v>41490</v>
      </c>
    </row>
    <row r="176" spans="1:17" ht="15.75" customHeight="1" x14ac:dyDescent="0.2">
      <c r="A176" s="1" t="s">
        <v>18</v>
      </c>
      <c r="B176" s="9">
        <v>41493</v>
      </c>
      <c r="C176" s="7">
        <f t="shared" si="0"/>
        <v>2013</v>
      </c>
      <c r="D176" s="7">
        <v>101</v>
      </c>
      <c r="E176" s="7">
        <v>1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/>
      <c r="M176" s="7"/>
      <c r="N176" s="7"/>
      <c r="Q176" s="10">
        <v>41490</v>
      </c>
    </row>
    <row r="177" spans="1:17" ht="15.75" customHeight="1" x14ac:dyDescent="0.2">
      <c r="A177" s="1" t="s">
        <v>17</v>
      </c>
      <c r="B177" s="9">
        <v>41487</v>
      </c>
      <c r="C177" s="7">
        <f t="shared" si="0"/>
        <v>2013</v>
      </c>
      <c r="D177" s="7">
        <v>97</v>
      </c>
      <c r="E177" s="7">
        <v>8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/>
      <c r="M177" s="7"/>
      <c r="N177" s="7"/>
      <c r="Q177" s="10">
        <v>41483</v>
      </c>
    </row>
    <row r="178" spans="1:17" ht="15.75" customHeight="1" x14ac:dyDescent="0.2">
      <c r="A178" s="1" t="s">
        <v>19</v>
      </c>
      <c r="B178" s="9">
        <v>41486</v>
      </c>
      <c r="C178" s="7">
        <f t="shared" si="0"/>
        <v>2013</v>
      </c>
      <c r="D178" s="7">
        <v>95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/>
      <c r="M178" s="7"/>
      <c r="N178" s="7"/>
      <c r="Q178" s="10">
        <v>41483</v>
      </c>
    </row>
    <row r="179" spans="1:17" ht="15.75" customHeight="1" x14ac:dyDescent="0.2">
      <c r="A179" s="1" t="s">
        <v>18</v>
      </c>
      <c r="B179" s="9">
        <v>41486</v>
      </c>
      <c r="C179" s="7">
        <f t="shared" si="0"/>
        <v>2013</v>
      </c>
      <c r="D179" s="7">
        <v>103</v>
      </c>
      <c r="E179" s="7">
        <v>2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/>
      <c r="M179" s="7"/>
      <c r="N179" s="7"/>
      <c r="Q179" s="10">
        <v>41483</v>
      </c>
    </row>
    <row r="180" spans="1:17" ht="15.75" customHeight="1" x14ac:dyDescent="0.2">
      <c r="A180" s="1" t="s">
        <v>17</v>
      </c>
      <c r="B180" s="9">
        <v>41480</v>
      </c>
      <c r="C180" s="7">
        <f t="shared" si="0"/>
        <v>2013</v>
      </c>
      <c r="D180" s="7">
        <v>104</v>
      </c>
      <c r="E180" s="7">
        <v>4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/>
      <c r="M180" s="7"/>
      <c r="N180" s="7"/>
      <c r="Q180" s="10">
        <v>41476</v>
      </c>
    </row>
    <row r="181" spans="1:17" ht="15.75" customHeight="1" x14ac:dyDescent="0.2">
      <c r="A181" s="1" t="s">
        <v>19</v>
      </c>
      <c r="B181" s="9">
        <v>41479</v>
      </c>
      <c r="C181" s="7">
        <f t="shared" si="0"/>
        <v>2013</v>
      </c>
      <c r="D181" s="7">
        <v>109</v>
      </c>
      <c r="E181" s="7">
        <v>9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/>
      <c r="M181" s="7"/>
      <c r="N181" s="7"/>
      <c r="Q181" s="10">
        <v>41476</v>
      </c>
    </row>
    <row r="182" spans="1:17" ht="15.75" customHeight="1" x14ac:dyDescent="0.2">
      <c r="A182" s="1" t="s">
        <v>18</v>
      </c>
      <c r="B182" s="9">
        <v>41479</v>
      </c>
      <c r="C182" s="7">
        <f t="shared" si="0"/>
        <v>2013</v>
      </c>
      <c r="D182" s="7">
        <v>102</v>
      </c>
      <c r="E182" s="7">
        <v>13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/>
      <c r="M182" s="7"/>
      <c r="N182" s="7"/>
      <c r="Q182" s="10">
        <v>41476</v>
      </c>
    </row>
    <row r="183" spans="1:17" ht="15.75" customHeight="1" x14ac:dyDescent="0.2">
      <c r="A183" s="1" t="s">
        <v>17</v>
      </c>
      <c r="B183" s="9">
        <v>41473</v>
      </c>
      <c r="C183" s="7">
        <f t="shared" si="0"/>
        <v>2013</v>
      </c>
      <c r="D183" s="7">
        <v>102</v>
      </c>
      <c r="E183" s="7">
        <v>2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/>
      <c r="M183" s="7"/>
      <c r="N183" s="7"/>
      <c r="Q183" s="10">
        <v>41469</v>
      </c>
    </row>
    <row r="184" spans="1:17" ht="15.75" customHeight="1" x14ac:dyDescent="0.2">
      <c r="A184" s="1" t="s">
        <v>19</v>
      </c>
      <c r="B184" s="9">
        <v>41472</v>
      </c>
      <c r="C184" s="7">
        <f t="shared" si="0"/>
        <v>2013</v>
      </c>
      <c r="D184" s="7">
        <v>126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/>
      <c r="M184" s="7"/>
      <c r="N184" s="7"/>
      <c r="Q184" s="10">
        <v>41469</v>
      </c>
    </row>
    <row r="185" spans="1:17" ht="15.75" customHeight="1" x14ac:dyDescent="0.2">
      <c r="A185" s="1" t="s">
        <v>18</v>
      </c>
      <c r="B185" s="9">
        <v>41472</v>
      </c>
      <c r="C185" s="7">
        <f t="shared" si="0"/>
        <v>2013</v>
      </c>
      <c r="D185" s="7">
        <v>106</v>
      </c>
      <c r="E185" s="7">
        <v>5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/>
      <c r="M185" s="7"/>
      <c r="N185" s="7"/>
      <c r="Q185" s="10">
        <v>41469</v>
      </c>
    </row>
    <row r="186" spans="1:17" ht="15.75" customHeight="1" x14ac:dyDescent="0.2">
      <c r="A186" s="1" t="s">
        <v>17</v>
      </c>
      <c r="B186" s="9">
        <v>41466</v>
      </c>
      <c r="C186" s="7">
        <f t="shared" si="0"/>
        <v>2013</v>
      </c>
      <c r="D186" s="7">
        <v>106</v>
      </c>
      <c r="E186" s="7">
        <v>6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/>
      <c r="M186" s="7"/>
      <c r="N186" s="7"/>
      <c r="Q186" s="10">
        <v>41462</v>
      </c>
    </row>
    <row r="187" spans="1:17" ht="15.75" customHeight="1" x14ac:dyDescent="0.2">
      <c r="A187" s="1" t="s">
        <v>19</v>
      </c>
      <c r="B187" s="9">
        <v>41465</v>
      </c>
      <c r="C187" s="7">
        <f t="shared" si="0"/>
        <v>2013</v>
      </c>
      <c r="D187" s="7">
        <v>106</v>
      </c>
      <c r="E187" s="7">
        <v>1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/>
      <c r="M187" s="7"/>
      <c r="N187" s="7"/>
      <c r="Q187" s="10">
        <v>41462</v>
      </c>
    </row>
    <row r="188" spans="1:17" ht="15.75" customHeight="1" x14ac:dyDescent="0.2">
      <c r="A188" s="1" t="s">
        <v>18</v>
      </c>
      <c r="B188" s="9">
        <v>41465</v>
      </c>
      <c r="C188" s="7">
        <f t="shared" si="0"/>
        <v>2013</v>
      </c>
      <c r="D188" s="7">
        <v>101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/>
      <c r="M188" s="7"/>
      <c r="N188" s="7"/>
      <c r="Q188" s="10">
        <v>41462</v>
      </c>
    </row>
    <row r="189" spans="1:17" ht="15.75" customHeight="1" x14ac:dyDescent="0.2">
      <c r="A189" s="1" t="s">
        <v>18</v>
      </c>
      <c r="B189" s="9">
        <v>41144</v>
      </c>
      <c r="C189" s="7">
        <f t="shared" si="0"/>
        <v>2012</v>
      </c>
      <c r="D189" s="7">
        <v>103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/>
      <c r="M189" s="7"/>
      <c r="N189" s="7"/>
      <c r="Q189" s="10">
        <v>41140</v>
      </c>
    </row>
    <row r="190" spans="1:17" ht="15.75" customHeight="1" x14ac:dyDescent="0.2">
      <c r="A190" s="1" t="s">
        <v>19</v>
      </c>
      <c r="B190" s="9">
        <v>41143</v>
      </c>
      <c r="C190" s="7">
        <f t="shared" si="0"/>
        <v>2012</v>
      </c>
      <c r="D190" s="7">
        <v>108</v>
      </c>
      <c r="E190" s="7">
        <v>5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/>
      <c r="M190" s="7"/>
      <c r="N190" s="7"/>
      <c r="Q190" s="10">
        <v>41140</v>
      </c>
    </row>
    <row r="191" spans="1:17" ht="15.75" customHeight="1" x14ac:dyDescent="0.2">
      <c r="A191" s="1" t="s">
        <v>17</v>
      </c>
      <c r="B191" s="9">
        <v>41142</v>
      </c>
      <c r="C191" s="7">
        <f t="shared" si="0"/>
        <v>2012</v>
      </c>
      <c r="D191" s="7">
        <v>104</v>
      </c>
      <c r="E191" s="7">
        <v>1</v>
      </c>
      <c r="F191" s="7">
        <v>3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/>
      <c r="M191" s="7"/>
      <c r="N191" s="7"/>
      <c r="Q191" s="10">
        <v>41140</v>
      </c>
    </row>
    <row r="192" spans="1:17" ht="15.75" customHeight="1" x14ac:dyDescent="0.2">
      <c r="A192" s="1" t="s">
        <v>18</v>
      </c>
      <c r="B192" s="9">
        <v>41138</v>
      </c>
      <c r="C192" s="7">
        <f t="shared" si="0"/>
        <v>2012</v>
      </c>
      <c r="D192" s="7">
        <v>109</v>
      </c>
      <c r="E192" s="7">
        <v>1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/>
      <c r="M192" s="7"/>
      <c r="N192" s="7"/>
      <c r="Q192" s="10">
        <v>41133</v>
      </c>
    </row>
    <row r="193" spans="1:17" ht="15.75" customHeight="1" x14ac:dyDescent="0.2">
      <c r="A193" s="1" t="s">
        <v>19</v>
      </c>
      <c r="B193" s="9">
        <v>41136</v>
      </c>
      <c r="C193" s="7">
        <f t="shared" si="0"/>
        <v>2012</v>
      </c>
      <c r="D193" s="7">
        <v>110</v>
      </c>
      <c r="E193" s="7">
        <v>1</v>
      </c>
      <c r="F193" s="7">
        <v>0</v>
      </c>
      <c r="G193" s="7">
        <v>0</v>
      </c>
      <c r="H193" s="7">
        <v>1</v>
      </c>
      <c r="I193" s="7">
        <v>0</v>
      </c>
      <c r="J193" s="7">
        <v>0</v>
      </c>
      <c r="K193" s="7">
        <v>0</v>
      </c>
      <c r="L193" s="7"/>
      <c r="M193" s="7"/>
      <c r="N193" s="7"/>
      <c r="Q193" s="10">
        <v>41133</v>
      </c>
    </row>
    <row r="194" spans="1:17" ht="15.75" customHeight="1" x14ac:dyDescent="0.2">
      <c r="A194" s="1" t="s">
        <v>17</v>
      </c>
      <c r="B194" s="9">
        <v>41135</v>
      </c>
      <c r="C194" s="7">
        <f t="shared" si="0"/>
        <v>2012</v>
      </c>
      <c r="D194" s="7">
        <v>109</v>
      </c>
      <c r="E194" s="7">
        <v>4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/>
      <c r="M194" s="7"/>
      <c r="N194" s="7"/>
      <c r="Q194" s="10">
        <v>41133</v>
      </c>
    </row>
    <row r="195" spans="1:17" ht="15.75" customHeight="1" x14ac:dyDescent="0.2">
      <c r="A195" s="1" t="s">
        <v>18</v>
      </c>
      <c r="B195" s="9">
        <v>41131</v>
      </c>
      <c r="C195" s="7">
        <f t="shared" si="0"/>
        <v>2012</v>
      </c>
      <c r="D195" s="7">
        <v>106</v>
      </c>
      <c r="E195" s="7">
        <v>3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/>
      <c r="M195" s="7"/>
      <c r="N195" s="7"/>
      <c r="Q195" s="10">
        <v>41126</v>
      </c>
    </row>
    <row r="196" spans="1:17" ht="15.75" customHeight="1" x14ac:dyDescent="0.2">
      <c r="A196" s="1" t="s">
        <v>19</v>
      </c>
      <c r="B196" s="9">
        <v>41129</v>
      </c>
      <c r="C196" s="7">
        <f t="shared" si="0"/>
        <v>2012</v>
      </c>
      <c r="D196" s="7">
        <v>106</v>
      </c>
      <c r="E196" s="7">
        <v>1</v>
      </c>
      <c r="F196" s="7">
        <v>1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/>
      <c r="M196" s="7"/>
      <c r="N196" s="7"/>
      <c r="Q196" s="10">
        <v>41126</v>
      </c>
    </row>
    <row r="197" spans="1:17" ht="15.75" customHeight="1" x14ac:dyDescent="0.2">
      <c r="A197" s="1" t="s">
        <v>17</v>
      </c>
      <c r="B197" s="9">
        <v>41128</v>
      </c>
      <c r="C197" s="7">
        <f t="shared" si="0"/>
        <v>2012</v>
      </c>
      <c r="D197" s="7">
        <v>111</v>
      </c>
      <c r="E197" s="7">
        <v>4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/>
      <c r="M197" s="7"/>
      <c r="N197" s="7"/>
      <c r="Q197" s="10">
        <v>41126</v>
      </c>
    </row>
    <row r="198" spans="1:17" ht="15.75" customHeight="1" x14ac:dyDescent="0.2">
      <c r="A198" s="1" t="s">
        <v>18</v>
      </c>
      <c r="B198" s="9">
        <v>41123</v>
      </c>
      <c r="C198" s="7">
        <f t="shared" si="0"/>
        <v>2012</v>
      </c>
      <c r="D198" s="7">
        <v>109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/>
      <c r="M198" s="7"/>
      <c r="N198" s="7"/>
      <c r="Q198" s="10">
        <v>41119</v>
      </c>
    </row>
    <row r="199" spans="1:17" ht="15.75" customHeight="1" x14ac:dyDescent="0.2">
      <c r="A199" s="1" t="s">
        <v>19</v>
      </c>
      <c r="B199" s="9">
        <v>41122</v>
      </c>
      <c r="C199" s="7">
        <f t="shared" si="0"/>
        <v>2012</v>
      </c>
      <c r="D199" s="7">
        <v>117</v>
      </c>
      <c r="E199" s="7">
        <v>7</v>
      </c>
      <c r="F199" s="7">
        <v>1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/>
      <c r="M199" s="7"/>
      <c r="N199" s="7"/>
      <c r="Q199" s="10">
        <v>41119</v>
      </c>
    </row>
    <row r="200" spans="1:17" ht="15.75" customHeight="1" x14ac:dyDescent="0.2">
      <c r="A200" s="1" t="s">
        <v>17</v>
      </c>
      <c r="B200" s="9">
        <v>41121</v>
      </c>
      <c r="C200" s="7">
        <f t="shared" si="0"/>
        <v>2012</v>
      </c>
      <c r="D200" s="7">
        <v>109</v>
      </c>
      <c r="E200" s="7">
        <v>22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/>
      <c r="M200" s="7"/>
      <c r="N200" s="7"/>
      <c r="Q200" s="10">
        <v>41119</v>
      </c>
    </row>
    <row r="201" spans="1:17" ht="15.75" customHeight="1" x14ac:dyDescent="0.2">
      <c r="A201" s="1" t="s">
        <v>18</v>
      </c>
      <c r="B201" s="9">
        <v>41117</v>
      </c>
      <c r="C201" s="7">
        <f t="shared" si="0"/>
        <v>2012</v>
      </c>
      <c r="D201" s="7">
        <v>114</v>
      </c>
      <c r="E201" s="7">
        <v>2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/>
      <c r="M201" s="7"/>
      <c r="N201" s="7"/>
      <c r="Q201" s="10">
        <v>41112</v>
      </c>
    </row>
    <row r="202" spans="1:17" ht="15.75" customHeight="1" x14ac:dyDescent="0.2">
      <c r="A202" s="1" t="s">
        <v>19</v>
      </c>
      <c r="B202" s="9">
        <v>41115</v>
      </c>
      <c r="C202" s="7">
        <f t="shared" si="0"/>
        <v>2012</v>
      </c>
      <c r="D202" s="7">
        <v>111</v>
      </c>
      <c r="E202" s="7">
        <v>3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/>
      <c r="M202" s="7"/>
      <c r="N202" s="7"/>
      <c r="Q202" s="10">
        <v>41112</v>
      </c>
    </row>
    <row r="203" spans="1:17" ht="15.75" customHeight="1" x14ac:dyDescent="0.2">
      <c r="A203" s="1" t="s">
        <v>17</v>
      </c>
      <c r="B203" s="9">
        <v>41114</v>
      </c>
      <c r="C203" s="7">
        <f t="shared" si="0"/>
        <v>2012</v>
      </c>
      <c r="D203" s="7">
        <v>110</v>
      </c>
      <c r="E203" s="7">
        <v>29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/>
      <c r="M203" s="7"/>
      <c r="N203" s="7"/>
      <c r="Q203" s="10">
        <v>41112</v>
      </c>
    </row>
    <row r="204" spans="1:17" ht="15.75" customHeight="1" x14ac:dyDescent="0.2">
      <c r="A204" s="1" t="s">
        <v>18</v>
      </c>
      <c r="B204" s="9">
        <v>41109</v>
      </c>
      <c r="C204" s="7">
        <f t="shared" si="0"/>
        <v>2012</v>
      </c>
      <c r="D204" s="7">
        <v>116</v>
      </c>
      <c r="E204" s="7">
        <v>2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/>
      <c r="M204" s="7"/>
      <c r="N204" s="7"/>
      <c r="Q204" s="10">
        <v>41105</v>
      </c>
    </row>
    <row r="205" spans="1:17" ht="15.75" customHeight="1" x14ac:dyDescent="0.2">
      <c r="A205" s="1" t="s">
        <v>19</v>
      </c>
      <c r="B205" s="9">
        <v>41108</v>
      </c>
      <c r="C205" s="7">
        <f t="shared" si="0"/>
        <v>2012</v>
      </c>
      <c r="D205" s="7">
        <v>104</v>
      </c>
      <c r="E205" s="7">
        <v>6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/>
      <c r="M205" s="7"/>
      <c r="N205" s="7"/>
      <c r="Q205" s="10">
        <v>41105</v>
      </c>
    </row>
    <row r="206" spans="1:17" ht="15.75" customHeight="1" x14ac:dyDescent="0.2">
      <c r="A206" s="1" t="s">
        <v>17</v>
      </c>
      <c r="B206" s="9">
        <v>41107</v>
      </c>
      <c r="C206" s="7">
        <f t="shared" si="0"/>
        <v>2012</v>
      </c>
      <c r="D206" s="7">
        <v>114</v>
      </c>
      <c r="E206" s="7">
        <v>39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/>
      <c r="M206" s="7"/>
      <c r="N206" s="7"/>
      <c r="Q206" s="10">
        <v>41105</v>
      </c>
    </row>
    <row r="207" spans="1:17" ht="15.75" customHeight="1" x14ac:dyDescent="0.2">
      <c r="A207" s="1" t="s">
        <v>18</v>
      </c>
      <c r="B207" s="9">
        <v>41102</v>
      </c>
      <c r="C207" s="7">
        <f t="shared" si="0"/>
        <v>2012</v>
      </c>
      <c r="D207" s="7">
        <v>114</v>
      </c>
      <c r="E207" s="7">
        <v>5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/>
      <c r="M207" s="7"/>
      <c r="N207" s="7"/>
      <c r="Q207" s="10">
        <v>41098</v>
      </c>
    </row>
    <row r="208" spans="1:17" ht="15.75" customHeight="1" x14ac:dyDescent="0.2">
      <c r="A208" s="1" t="s">
        <v>19</v>
      </c>
      <c r="B208" s="9">
        <v>41101</v>
      </c>
      <c r="C208" s="7">
        <f t="shared" si="0"/>
        <v>2012</v>
      </c>
      <c r="D208" s="7">
        <v>103</v>
      </c>
      <c r="E208" s="7">
        <v>3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/>
      <c r="M208" s="7"/>
      <c r="N208" s="7"/>
      <c r="Q208" s="10">
        <v>41098</v>
      </c>
    </row>
    <row r="209" spans="1:17" ht="15.75" customHeight="1" x14ac:dyDescent="0.2">
      <c r="A209" s="1" t="s">
        <v>17</v>
      </c>
      <c r="B209" s="9">
        <v>41100</v>
      </c>
      <c r="C209" s="7">
        <f t="shared" si="0"/>
        <v>2012</v>
      </c>
      <c r="D209" s="7">
        <v>108</v>
      </c>
      <c r="E209" s="7">
        <v>43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/>
      <c r="M209" s="7"/>
      <c r="N209" s="7"/>
      <c r="Q209" s="10">
        <v>41098</v>
      </c>
    </row>
    <row r="210" spans="1:17" ht="15.75" customHeight="1" x14ac:dyDescent="0.2">
      <c r="A210" s="1" t="s">
        <v>18</v>
      </c>
      <c r="B210" s="9">
        <v>41096</v>
      </c>
      <c r="C210" s="7">
        <f t="shared" si="0"/>
        <v>2012</v>
      </c>
      <c r="D210" s="7">
        <v>119</v>
      </c>
      <c r="E210" s="7">
        <v>4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/>
      <c r="M210" s="7"/>
      <c r="N210" s="7"/>
      <c r="Q210" s="10">
        <v>41091</v>
      </c>
    </row>
    <row r="211" spans="1:17" ht="15.75" customHeight="1" x14ac:dyDescent="0.2">
      <c r="A211" s="1" t="s">
        <v>19</v>
      </c>
      <c r="B211" s="9">
        <v>41094</v>
      </c>
      <c r="C211" s="7">
        <f t="shared" si="0"/>
        <v>2012</v>
      </c>
      <c r="D211" s="7">
        <v>133</v>
      </c>
      <c r="E211" s="7">
        <v>4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/>
      <c r="M211" s="7"/>
      <c r="N211" s="7"/>
      <c r="Q211" s="10">
        <v>41091</v>
      </c>
    </row>
    <row r="212" spans="1:17" ht="15.75" customHeight="1" x14ac:dyDescent="0.2">
      <c r="A212" s="1" t="s">
        <v>17</v>
      </c>
      <c r="B212" s="9">
        <v>41093</v>
      </c>
      <c r="C212" s="7">
        <f t="shared" si="0"/>
        <v>2012</v>
      </c>
      <c r="D212" s="7">
        <v>103</v>
      </c>
      <c r="E212" s="7">
        <v>5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/>
      <c r="M212" s="7"/>
      <c r="N212" s="7"/>
      <c r="Q212" s="10">
        <v>41091</v>
      </c>
    </row>
    <row r="213" spans="1:17" ht="15.75" customHeight="1" x14ac:dyDescent="0.2">
      <c r="A213" s="1" t="s">
        <v>19</v>
      </c>
      <c r="B213" s="9">
        <v>41087</v>
      </c>
      <c r="C213" s="7">
        <f t="shared" si="0"/>
        <v>2012</v>
      </c>
      <c r="D213" s="7">
        <v>57</v>
      </c>
      <c r="E213" s="7">
        <v>2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/>
      <c r="M213" s="7"/>
      <c r="N213" s="7"/>
      <c r="Q213" s="10">
        <v>41084</v>
      </c>
    </row>
    <row r="214" spans="1:17" ht="15.75" customHeight="1" x14ac:dyDescent="0.2">
      <c r="A214" s="1" t="s">
        <v>17</v>
      </c>
      <c r="B214" s="9">
        <v>41086</v>
      </c>
      <c r="C214" s="7">
        <f t="shared" si="0"/>
        <v>2012</v>
      </c>
      <c r="D214" s="7">
        <v>100</v>
      </c>
      <c r="E214" s="7">
        <v>9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/>
      <c r="M214" s="7"/>
      <c r="N214" s="7"/>
      <c r="Q214" s="10">
        <v>41084</v>
      </c>
    </row>
    <row r="215" spans="1:17" ht="15.75" customHeight="1" x14ac:dyDescent="0.2">
      <c r="A215" s="1" t="s">
        <v>17</v>
      </c>
      <c r="B215" s="9">
        <v>40802</v>
      </c>
      <c r="C215" s="7">
        <f t="shared" si="0"/>
        <v>2011</v>
      </c>
      <c r="D215" s="7">
        <v>100</v>
      </c>
      <c r="E215" s="7">
        <v>6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/>
      <c r="M215" s="7"/>
      <c r="N215" s="7"/>
      <c r="Q215" s="10">
        <v>40797</v>
      </c>
    </row>
    <row r="216" spans="1:17" ht="15.75" customHeight="1" x14ac:dyDescent="0.2">
      <c r="A216" s="1" t="s">
        <v>17</v>
      </c>
      <c r="B216" s="9">
        <v>40795</v>
      </c>
      <c r="C216" s="7">
        <f t="shared" si="0"/>
        <v>2011</v>
      </c>
      <c r="D216" s="7">
        <v>100</v>
      </c>
      <c r="E216" s="7">
        <v>36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/>
      <c r="M216" s="7"/>
      <c r="N216" s="7"/>
      <c r="Q216" s="10">
        <v>40790</v>
      </c>
    </row>
    <row r="217" spans="1:17" ht="15.75" customHeight="1" x14ac:dyDescent="0.2">
      <c r="A217" s="1" t="s">
        <v>17</v>
      </c>
      <c r="B217" s="9">
        <v>40788</v>
      </c>
      <c r="C217" s="7">
        <f t="shared" si="0"/>
        <v>2011</v>
      </c>
      <c r="D217" s="7">
        <v>100</v>
      </c>
      <c r="E217" s="7">
        <v>58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/>
      <c r="M217" s="7"/>
      <c r="N217" s="7"/>
      <c r="Q217" s="10">
        <v>40783</v>
      </c>
    </row>
    <row r="218" spans="1:17" ht="15.75" customHeight="1" x14ac:dyDescent="0.2">
      <c r="A218" s="1" t="s">
        <v>17</v>
      </c>
      <c r="B218" s="9">
        <v>40781</v>
      </c>
      <c r="C218" s="7">
        <f t="shared" si="0"/>
        <v>2011</v>
      </c>
      <c r="D218" s="7">
        <v>100</v>
      </c>
      <c r="E218" s="7">
        <v>76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/>
      <c r="M218" s="7"/>
      <c r="N218" s="7"/>
      <c r="Q218" s="10">
        <v>40776</v>
      </c>
    </row>
    <row r="219" spans="1:17" ht="15.75" customHeight="1" x14ac:dyDescent="0.2">
      <c r="A219" s="1" t="s">
        <v>17</v>
      </c>
      <c r="B219" s="9">
        <v>40774</v>
      </c>
      <c r="C219" s="7">
        <f t="shared" si="0"/>
        <v>2011</v>
      </c>
      <c r="D219" s="7">
        <v>100</v>
      </c>
      <c r="E219" s="7">
        <v>26</v>
      </c>
      <c r="F219" s="7">
        <v>2</v>
      </c>
      <c r="G219" s="7">
        <v>0</v>
      </c>
      <c r="H219" s="7">
        <v>0</v>
      </c>
      <c r="I219" s="7">
        <v>1</v>
      </c>
      <c r="J219" s="7">
        <v>0</v>
      </c>
      <c r="K219" s="7">
        <v>0</v>
      </c>
      <c r="L219" s="7"/>
      <c r="M219" s="7"/>
      <c r="N219" s="7"/>
      <c r="Q219" s="10">
        <v>40769</v>
      </c>
    </row>
    <row r="220" spans="1:17" ht="15.75" customHeight="1" x14ac:dyDescent="0.2">
      <c r="A220" s="1" t="s">
        <v>17</v>
      </c>
      <c r="B220" s="9">
        <v>40760</v>
      </c>
      <c r="C220" s="7">
        <f t="shared" si="0"/>
        <v>2011</v>
      </c>
      <c r="D220" s="7">
        <v>100</v>
      </c>
      <c r="E220" s="7">
        <v>69</v>
      </c>
      <c r="F220" s="7">
        <v>3</v>
      </c>
      <c r="G220" s="7">
        <v>1</v>
      </c>
      <c r="H220" s="7">
        <v>0</v>
      </c>
      <c r="I220" s="7">
        <v>0</v>
      </c>
      <c r="J220" s="7">
        <v>0</v>
      </c>
      <c r="K220" s="7">
        <v>0</v>
      </c>
      <c r="L220" s="7"/>
      <c r="M220" s="7"/>
      <c r="N220" s="7"/>
      <c r="Q220" s="10">
        <v>40755</v>
      </c>
    </row>
    <row r="221" spans="1:17" ht="15.75" customHeight="1" x14ac:dyDescent="0.2">
      <c r="A221" s="1" t="s">
        <v>17</v>
      </c>
      <c r="B221" s="9">
        <v>40751</v>
      </c>
      <c r="C221" s="7">
        <f t="shared" si="0"/>
        <v>2011</v>
      </c>
      <c r="D221" s="7">
        <v>100</v>
      </c>
      <c r="E221" s="7">
        <v>23</v>
      </c>
      <c r="F221" s="7">
        <v>0</v>
      </c>
      <c r="G221" s="7">
        <v>0</v>
      </c>
      <c r="H221" s="7">
        <v>1</v>
      </c>
      <c r="I221" s="7">
        <v>0</v>
      </c>
      <c r="J221" s="7">
        <v>0</v>
      </c>
      <c r="K221" s="7">
        <v>0</v>
      </c>
      <c r="L221" s="7"/>
      <c r="M221" s="7"/>
      <c r="N221" s="7"/>
      <c r="Q221" s="10">
        <v>40748</v>
      </c>
    </row>
    <row r="222" spans="1:17" ht="15.75" customHeight="1" x14ac:dyDescent="0.2">
      <c r="A222" s="1" t="s">
        <v>17</v>
      </c>
      <c r="B222" s="9">
        <v>40740</v>
      </c>
      <c r="C222" s="7">
        <f t="shared" si="0"/>
        <v>2011</v>
      </c>
      <c r="D222" s="7">
        <v>100</v>
      </c>
      <c r="E222" s="7">
        <v>16</v>
      </c>
      <c r="F222" s="7">
        <v>2</v>
      </c>
      <c r="G222" s="7">
        <v>2</v>
      </c>
      <c r="H222" s="7">
        <v>0</v>
      </c>
      <c r="I222" s="7">
        <v>0</v>
      </c>
      <c r="J222" s="7">
        <v>0</v>
      </c>
      <c r="K222" s="7">
        <v>0</v>
      </c>
      <c r="L222" s="7"/>
      <c r="M222" s="7"/>
      <c r="N222" s="7"/>
      <c r="Q222" s="10">
        <v>40734</v>
      </c>
    </row>
    <row r="223" spans="1:17" ht="15.75" customHeight="1" x14ac:dyDescent="0.2">
      <c r="A223" s="1" t="s">
        <v>17</v>
      </c>
      <c r="B223" s="9">
        <v>40731</v>
      </c>
      <c r="C223" s="7">
        <f t="shared" si="0"/>
        <v>2011</v>
      </c>
      <c r="D223" s="7">
        <v>100</v>
      </c>
      <c r="E223" s="7">
        <v>10</v>
      </c>
      <c r="F223" s="7">
        <v>0</v>
      </c>
      <c r="G223" s="7">
        <v>0</v>
      </c>
      <c r="H223" s="7">
        <v>0</v>
      </c>
      <c r="I223" s="7">
        <v>0</v>
      </c>
      <c r="J223" s="7">
        <v>1</v>
      </c>
      <c r="K223" s="7">
        <v>0</v>
      </c>
      <c r="L223" s="7"/>
      <c r="M223" s="7"/>
      <c r="N223" s="7"/>
      <c r="Q223" s="10">
        <v>40727</v>
      </c>
    </row>
    <row r="224" spans="1:17" ht="15.75" customHeight="1" x14ac:dyDescent="0.2">
      <c r="A224" s="1" t="s">
        <v>17</v>
      </c>
      <c r="B224" s="9">
        <v>40725</v>
      </c>
      <c r="C224" s="7">
        <f t="shared" si="0"/>
        <v>2011</v>
      </c>
      <c r="D224" s="7">
        <v>100</v>
      </c>
      <c r="E224" s="7">
        <v>5</v>
      </c>
      <c r="F224" s="7">
        <v>0</v>
      </c>
      <c r="G224" s="7">
        <v>1</v>
      </c>
      <c r="H224" s="7">
        <v>1</v>
      </c>
      <c r="I224" s="7">
        <v>0</v>
      </c>
      <c r="J224" s="7">
        <v>0</v>
      </c>
      <c r="K224" s="7">
        <v>0</v>
      </c>
      <c r="L224" s="7"/>
      <c r="M224" s="7"/>
      <c r="N224" s="7"/>
      <c r="Q224" s="10">
        <v>40720</v>
      </c>
    </row>
    <row r="225" spans="1:26" ht="15.75" customHeight="1" x14ac:dyDescent="0.2">
      <c r="A225" s="1" t="s">
        <v>17</v>
      </c>
      <c r="B225" s="9">
        <v>40718</v>
      </c>
      <c r="C225" s="7">
        <f t="shared" si="0"/>
        <v>2011</v>
      </c>
      <c r="D225" s="7">
        <v>100</v>
      </c>
      <c r="E225" s="7">
        <v>8</v>
      </c>
      <c r="F225" s="7">
        <v>2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/>
      <c r="M225" s="7"/>
      <c r="N225" s="7"/>
      <c r="Q225" s="10">
        <v>40713</v>
      </c>
    </row>
    <row r="226" spans="1:26" ht="15.75" customHeight="1" x14ac:dyDescent="0.2">
      <c r="A226" s="1" t="s">
        <v>17</v>
      </c>
      <c r="B226" s="9">
        <v>40711</v>
      </c>
      <c r="C226" s="7">
        <f t="shared" si="0"/>
        <v>2011</v>
      </c>
      <c r="D226" s="7">
        <v>100</v>
      </c>
      <c r="E226" s="7">
        <v>19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/>
      <c r="M226" s="7"/>
      <c r="N226" s="7"/>
      <c r="Q226" s="10">
        <v>40706</v>
      </c>
    </row>
    <row r="227" spans="1:26" ht="15.75" customHeight="1" x14ac:dyDescent="0.2">
      <c r="A227" s="1" t="s">
        <v>17</v>
      </c>
      <c r="B227" s="9">
        <v>39672</v>
      </c>
      <c r="C227" s="7">
        <f t="shared" si="0"/>
        <v>2008</v>
      </c>
      <c r="D227" s="7">
        <v>100</v>
      </c>
      <c r="E227" s="7">
        <v>40</v>
      </c>
      <c r="F227" s="7">
        <v>1</v>
      </c>
      <c r="G227" s="7">
        <v>0</v>
      </c>
      <c r="H227" s="7">
        <v>0</v>
      </c>
      <c r="I227" s="7">
        <v>0</v>
      </c>
      <c r="J227" s="7">
        <v>0</v>
      </c>
      <c r="Q227" s="10">
        <v>39670</v>
      </c>
    </row>
    <row r="228" spans="1:26" ht="15.75" customHeight="1" x14ac:dyDescent="0.2">
      <c r="A228" s="1" t="s">
        <v>17</v>
      </c>
      <c r="B228" s="9">
        <v>39660</v>
      </c>
      <c r="C228" s="7">
        <f t="shared" si="0"/>
        <v>2008</v>
      </c>
      <c r="D228" s="7">
        <v>56</v>
      </c>
      <c r="E228" s="7">
        <v>42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Q228" s="10">
        <v>39656</v>
      </c>
    </row>
    <row r="229" spans="1:26" ht="15.75" customHeight="1" x14ac:dyDescent="0.2">
      <c r="A229" s="1" t="s">
        <v>17</v>
      </c>
      <c r="B229" s="9">
        <v>39645</v>
      </c>
      <c r="C229" s="7">
        <f t="shared" si="0"/>
        <v>2008</v>
      </c>
      <c r="D229" s="7">
        <v>36</v>
      </c>
      <c r="E229" s="7">
        <v>31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Q229" s="10">
        <v>39642</v>
      </c>
    </row>
    <row r="230" spans="1:26" ht="15.75" customHeight="1" x14ac:dyDescent="0.2">
      <c r="A230" s="1" t="s">
        <v>17</v>
      </c>
      <c r="B230" s="9">
        <v>39637</v>
      </c>
      <c r="C230" s="7">
        <f t="shared" si="0"/>
        <v>2008</v>
      </c>
      <c r="D230" s="7">
        <v>100</v>
      </c>
      <c r="E230" s="7">
        <v>1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Q230" s="10">
        <v>39635</v>
      </c>
    </row>
    <row r="231" spans="1:26" ht="15.75" customHeight="1" x14ac:dyDescent="0.2">
      <c r="A231" s="1" t="s">
        <v>17</v>
      </c>
      <c r="B231" s="9">
        <v>39632</v>
      </c>
      <c r="C231" s="7">
        <f t="shared" si="0"/>
        <v>2008</v>
      </c>
      <c r="D231" s="7">
        <v>40</v>
      </c>
      <c r="E231" s="7">
        <v>15</v>
      </c>
      <c r="F231" s="7">
        <v>0</v>
      </c>
      <c r="G231" s="7">
        <v>0</v>
      </c>
      <c r="H231" s="7">
        <v>0</v>
      </c>
      <c r="I231" s="7">
        <v>1</v>
      </c>
      <c r="J231" s="7">
        <v>0</v>
      </c>
      <c r="Q231" s="10">
        <v>39628</v>
      </c>
    </row>
    <row r="232" spans="1:26" ht="15.75" customHeight="1" x14ac:dyDescent="0.2">
      <c r="A232" s="1" t="s">
        <v>17</v>
      </c>
      <c r="B232" s="9">
        <v>39625</v>
      </c>
      <c r="C232" s="7">
        <f t="shared" si="0"/>
        <v>2008</v>
      </c>
      <c r="D232" s="7">
        <v>70</v>
      </c>
      <c r="E232" s="7">
        <v>47</v>
      </c>
      <c r="F232" s="7">
        <v>1</v>
      </c>
      <c r="G232" s="7">
        <v>1</v>
      </c>
      <c r="H232" s="7">
        <v>0</v>
      </c>
      <c r="I232" s="7">
        <v>0</v>
      </c>
      <c r="J232" s="7">
        <v>1</v>
      </c>
      <c r="Q232" s="10">
        <v>39621</v>
      </c>
    </row>
    <row r="233" spans="1:26" ht="15.75" customHeight="1" x14ac:dyDescent="0.2">
      <c r="A233" s="1" t="s">
        <v>17</v>
      </c>
      <c r="B233" s="9">
        <v>39619</v>
      </c>
      <c r="C233" s="7">
        <f t="shared" si="0"/>
        <v>2008</v>
      </c>
      <c r="D233" s="7">
        <v>20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Q233" s="10">
        <v>39614</v>
      </c>
    </row>
    <row r="234" spans="1:26" ht="15.75" customHeight="1" x14ac:dyDescent="0.2">
      <c r="A234" s="1" t="s">
        <v>17</v>
      </c>
      <c r="B234" s="9">
        <v>39310</v>
      </c>
      <c r="C234" s="7">
        <f t="shared" si="0"/>
        <v>2007</v>
      </c>
      <c r="D234" s="7">
        <v>100</v>
      </c>
      <c r="E234" s="7">
        <v>5</v>
      </c>
      <c r="F234" s="7">
        <v>0</v>
      </c>
      <c r="G234" s="7">
        <v>2</v>
      </c>
      <c r="H234" s="7">
        <v>0</v>
      </c>
      <c r="I234" s="7">
        <v>0</v>
      </c>
      <c r="J234" s="7">
        <v>0</v>
      </c>
      <c r="Q234" s="10">
        <v>39306</v>
      </c>
    </row>
    <row r="235" spans="1:26" ht="15.75" customHeight="1" x14ac:dyDescent="0.2">
      <c r="A235" s="1" t="s">
        <v>17</v>
      </c>
      <c r="B235" s="9">
        <v>39301</v>
      </c>
      <c r="C235" s="7">
        <f t="shared" si="0"/>
        <v>2007</v>
      </c>
      <c r="D235" s="7">
        <v>100</v>
      </c>
      <c r="E235" s="7">
        <v>23</v>
      </c>
      <c r="F235" s="7">
        <v>6</v>
      </c>
      <c r="G235" s="7">
        <v>3</v>
      </c>
      <c r="H235" s="7">
        <v>0</v>
      </c>
      <c r="I235" s="7">
        <v>3</v>
      </c>
      <c r="J235" s="7">
        <v>0</v>
      </c>
      <c r="Q235" s="10">
        <v>39299</v>
      </c>
    </row>
    <row r="236" spans="1:26" ht="15.75" customHeight="1" x14ac:dyDescent="0.2">
      <c r="A236" s="1" t="s">
        <v>17</v>
      </c>
      <c r="B236" s="9">
        <v>39294</v>
      </c>
      <c r="C236" s="7">
        <f t="shared" si="0"/>
        <v>2007</v>
      </c>
      <c r="D236" s="7">
        <v>100</v>
      </c>
      <c r="E236" s="7">
        <v>43</v>
      </c>
      <c r="F236" s="7">
        <v>6</v>
      </c>
      <c r="G236" s="7">
        <v>0</v>
      </c>
      <c r="H236" s="7">
        <v>0</v>
      </c>
      <c r="I236" s="7">
        <v>0</v>
      </c>
      <c r="J236" s="7">
        <v>0</v>
      </c>
      <c r="Q236" s="10">
        <v>39292</v>
      </c>
    </row>
    <row r="237" spans="1:26" ht="15.75" customHeight="1" x14ac:dyDescent="0.2">
      <c r="A237" s="1" t="s">
        <v>17</v>
      </c>
      <c r="B237" s="9">
        <v>39289</v>
      </c>
      <c r="C237" s="7">
        <f t="shared" si="0"/>
        <v>2007</v>
      </c>
      <c r="D237" s="7">
        <v>100</v>
      </c>
      <c r="E237" s="7">
        <v>91</v>
      </c>
      <c r="F237" s="7">
        <v>12</v>
      </c>
      <c r="G237" s="7">
        <v>4</v>
      </c>
      <c r="H237" s="7">
        <v>0</v>
      </c>
      <c r="I237" s="7">
        <v>0</v>
      </c>
      <c r="J237" s="7">
        <v>0</v>
      </c>
      <c r="Q237" s="10">
        <v>39285</v>
      </c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">
      <c r="A238" s="1" t="s">
        <v>17</v>
      </c>
      <c r="B238" s="9">
        <v>39282</v>
      </c>
      <c r="C238" s="7">
        <f t="shared" si="0"/>
        <v>2007</v>
      </c>
      <c r="D238" s="7">
        <v>100</v>
      </c>
      <c r="E238" s="7">
        <v>45</v>
      </c>
      <c r="F238" s="7">
        <v>3</v>
      </c>
      <c r="G238" s="7">
        <v>2</v>
      </c>
      <c r="H238" s="7">
        <v>1</v>
      </c>
      <c r="I238" s="7">
        <v>0</v>
      </c>
      <c r="J238" s="7">
        <v>3</v>
      </c>
      <c r="Q238" s="10">
        <v>39278</v>
      </c>
    </row>
    <row r="239" spans="1:26" ht="15.75" customHeight="1" x14ac:dyDescent="0.2">
      <c r="A239" s="1" t="s">
        <v>17</v>
      </c>
      <c r="B239" s="9">
        <v>39275</v>
      </c>
      <c r="C239" s="7">
        <f t="shared" si="0"/>
        <v>2007</v>
      </c>
      <c r="D239" s="7">
        <v>97</v>
      </c>
      <c r="E239" s="7">
        <v>84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Q239" s="10">
        <v>39271</v>
      </c>
    </row>
    <row r="240" spans="1:26" ht="15.75" customHeight="1" x14ac:dyDescent="0.2">
      <c r="A240" s="1" t="s">
        <v>17</v>
      </c>
      <c r="B240" s="9">
        <v>39269</v>
      </c>
      <c r="C240" s="7">
        <f t="shared" si="0"/>
        <v>2007</v>
      </c>
      <c r="D240" s="7">
        <v>100</v>
      </c>
      <c r="E240" s="7">
        <v>92</v>
      </c>
      <c r="F240" s="7">
        <v>2</v>
      </c>
      <c r="G240" s="7">
        <v>6</v>
      </c>
      <c r="H240" s="7">
        <v>2</v>
      </c>
      <c r="I240" s="7">
        <v>6</v>
      </c>
      <c r="J240" s="7">
        <v>5</v>
      </c>
      <c r="Q240" s="10">
        <v>39264</v>
      </c>
    </row>
    <row r="241" spans="1:17" ht="15.75" customHeight="1" x14ac:dyDescent="0.2">
      <c r="A241" s="1" t="s">
        <v>17</v>
      </c>
      <c r="B241" s="9">
        <v>39260</v>
      </c>
      <c r="C241" s="7">
        <f t="shared" si="0"/>
        <v>2007</v>
      </c>
      <c r="D241" s="7">
        <v>100</v>
      </c>
      <c r="E241" s="7">
        <v>24</v>
      </c>
      <c r="F241" s="7">
        <v>2</v>
      </c>
      <c r="G241" s="7">
        <v>0</v>
      </c>
      <c r="H241" s="7">
        <v>2</v>
      </c>
      <c r="I241" s="7">
        <v>0</v>
      </c>
      <c r="J241" s="7">
        <v>4</v>
      </c>
      <c r="Q241" s="10">
        <v>39257</v>
      </c>
    </row>
    <row r="242" spans="1:17" ht="15.75" customHeight="1" x14ac:dyDescent="0.2">
      <c r="A242" s="1" t="s">
        <v>17</v>
      </c>
      <c r="B242" s="9">
        <v>39252</v>
      </c>
      <c r="C242" s="7">
        <f t="shared" si="0"/>
        <v>2007</v>
      </c>
      <c r="D242" s="7">
        <v>100</v>
      </c>
      <c r="E242" s="7">
        <v>49</v>
      </c>
      <c r="F242" s="7">
        <v>8</v>
      </c>
      <c r="G242" s="7">
        <v>6</v>
      </c>
      <c r="H242" s="7">
        <v>2</v>
      </c>
      <c r="I242" s="7">
        <v>3</v>
      </c>
      <c r="J242" s="7">
        <v>5</v>
      </c>
      <c r="Q242" s="10">
        <v>39250</v>
      </c>
    </row>
    <row r="243" spans="1:17" ht="15.75" customHeight="1" x14ac:dyDescent="0.2">
      <c r="A243" s="1" t="s">
        <v>17</v>
      </c>
      <c r="B243" s="9">
        <v>39246</v>
      </c>
      <c r="C243" s="7">
        <f t="shared" si="0"/>
        <v>2007</v>
      </c>
      <c r="D243" s="7">
        <v>100</v>
      </c>
      <c r="E243" s="7">
        <v>99</v>
      </c>
      <c r="F243" s="7">
        <v>6</v>
      </c>
      <c r="G243" s="7">
        <v>0</v>
      </c>
      <c r="H243" s="7">
        <v>1</v>
      </c>
      <c r="I243" s="7">
        <v>1</v>
      </c>
      <c r="J243" s="7">
        <v>0</v>
      </c>
      <c r="Q243" s="10">
        <v>39243</v>
      </c>
    </row>
    <row r="244" spans="1:17" ht="15.75" customHeight="1" x14ac:dyDescent="0.2">
      <c r="A244" s="1" t="s">
        <v>17</v>
      </c>
      <c r="B244" s="9">
        <v>38955</v>
      </c>
      <c r="C244" s="7">
        <f t="shared" si="0"/>
        <v>2006</v>
      </c>
      <c r="D244" s="7">
        <v>100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Q244" s="10">
        <v>38949</v>
      </c>
    </row>
    <row r="245" spans="1:17" ht="15.75" customHeight="1" x14ac:dyDescent="0.2">
      <c r="A245" s="1" t="s">
        <v>17</v>
      </c>
      <c r="B245" s="9">
        <v>38947</v>
      </c>
      <c r="C245" s="7">
        <f t="shared" si="0"/>
        <v>2006</v>
      </c>
      <c r="D245" s="7">
        <v>100</v>
      </c>
      <c r="E245" s="7">
        <v>3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Q245" s="10">
        <v>38942</v>
      </c>
    </row>
    <row r="246" spans="1:17" ht="15.75" customHeight="1" x14ac:dyDescent="0.2">
      <c r="A246" s="1" t="s">
        <v>17</v>
      </c>
      <c r="B246" s="9">
        <v>38940</v>
      </c>
      <c r="C246" s="7">
        <f t="shared" si="0"/>
        <v>2006</v>
      </c>
      <c r="D246" s="7">
        <v>100</v>
      </c>
      <c r="E246" s="7">
        <v>14</v>
      </c>
      <c r="F246" s="7">
        <v>0</v>
      </c>
      <c r="G246" s="7">
        <v>1</v>
      </c>
      <c r="H246" s="7">
        <v>0</v>
      </c>
      <c r="I246" s="7">
        <v>0</v>
      </c>
      <c r="J246" s="7">
        <v>0</v>
      </c>
      <c r="Q246" s="10">
        <v>38935</v>
      </c>
    </row>
    <row r="247" spans="1:17" ht="15.75" customHeight="1" x14ac:dyDescent="0.2">
      <c r="A247" s="1" t="s">
        <v>17</v>
      </c>
      <c r="B247" s="9">
        <v>38930</v>
      </c>
      <c r="C247" s="7">
        <f t="shared" si="0"/>
        <v>2006</v>
      </c>
      <c r="D247" s="7">
        <v>100</v>
      </c>
      <c r="E247" s="7">
        <v>14</v>
      </c>
      <c r="F247" s="7">
        <v>3</v>
      </c>
      <c r="G247" s="7">
        <v>1</v>
      </c>
      <c r="H247" s="7">
        <v>0</v>
      </c>
      <c r="I247" s="7">
        <v>0</v>
      </c>
      <c r="J247" s="7">
        <v>0</v>
      </c>
      <c r="Q247" s="10">
        <v>38928</v>
      </c>
    </row>
    <row r="248" spans="1:17" ht="15.75" customHeight="1" x14ac:dyDescent="0.2">
      <c r="A248" s="1" t="s">
        <v>17</v>
      </c>
      <c r="B248" s="9">
        <v>38926</v>
      </c>
      <c r="C248" s="7">
        <f t="shared" si="0"/>
        <v>2006</v>
      </c>
      <c r="D248" s="7">
        <v>100</v>
      </c>
      <c r="E248" s="7">
        <v>21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Q248" s="10">
        <v>38921</v>
      </c>
    </row>
    <row r="249" spans="1:17" ht="15.75" customHeight="1" x14ac:dyDescent="0.2">
      <c r="A249" s="1" t="s">
        <v>17</v>
      </c>
      <c r="B249" s="9">
        <v>38919</v>
      </c>
      <c r="C249" s="7">
        <f t="shared" si="0"/>
        <v>2006</v>
      </c>
      <c r="D249" s="7">
        <v>100</v>
      </c>
      <c r="E249" s="7">
        <v>8</v>
      </c>
      <c r="F249" s="7">
        <v>2</v>
      </c>
      <c r="G249" s="7">
        <v>0</v>
      </c>
      <c r="H249" s="7">
        <v>0</v>
      </c>
      <c r="I249" s="7">
        <v>0</v>
      </c>
      <c r="J249" s="7">
        <v>0</v>
      </c>
      <c r="Q249" s="10">
        <v>38914</v>
      </c>
    </row>
    <row r="250" spans="1:17" ht="15.75" customHeight="1" x14ac:dyDescent="0.2">
      <c r="A250" s="1" t="s">
        <v>17</v>
      </c>
      <c r="B250" s="9">
        <v>38914</v>
      </c>
      <c r="C250" s="7">
        <f t="shared" si="0"/>
        <v>2006</v>
      </c>
      <c r="D250" s="7">
        <v>100</v>
      </c>
      <c r="E250" s="7">
        <v>8</v>
      </c>
      <c r="F250" s="7">
        <v>3</v>
      </c>
      <c r="G250" s="7">
        <v>0</v>
      </c>
      <c r="H250" s="7">
        <v>0</v>
      </c>
      <c r="I250" s="7">
        <v>0</v>
      </c>
      <c r="J250" s="7">
        <v>0</v>
      </c>
      <c r="Q250" s="10">
        <v>38914</v>
      </c>
    </row>
    <row r="251" spans="1:17" ht="15.75" customHeight="1" x14ac:dyDescent="0.2">
      <c r="A251" s="1" t="s">
        <v>17</v>
      </c>
      <c r="B251" s="9">
        <v>38905</v>
      </c>
      <c r="C251" s="7">
        <f t="shared" si="0"/>
        <v>2006</v>
      </c>
      <c r="D251" s="7">
        <v>100</v>
      </c>
      <c r="E251" s="7">
        <v>15</v>
      </c>
      <c r="F251" s="7">
        <v>1</v>
      </c>
      <c r="G251" s="7">
        <v>0</v>
      </c>
      <c r="H251" s="7">
        <v>0</v>
      </c>
      <c r="I251" s="7">
        <v>0</v>
      </c>
      <c r="J251" s="7">
        <v>0</v>
      </c>
      <c r="Q251" s="10">
        <v>38900</v>
      </c>
    </row>
    <row r="252" spans="1:17" ht="15.75" customHeight="1" x14ac:dyDescent="0.2">
      <c r="A252" s="1" t="s">
        <v>17</v>
      </c>
      <c r="B252" s="9">
        <v>38897</v>
      </c>
      <c r="C252" s="7">
        <f t="shared" si="0"/>
        <v>2006</v>
      </c>
      <c r="D252" s="7">
        <v>100</v>
      </c>
      <c r="E252" s="7">
        <v>9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Q252" s="10">
        <v>38893</v>
      </c>
    </row>
    <row r="253" spans="1:17" ht="15.75" customHeight="1" x14ac:dyDescent="0.2">
      <c r="A253" s="1" t="s">
        <v>17</v>
      </c>
      <c r="B253" s="9">
        <v>38891</v>
      </c>
      <c r="C253" s="7">
        <f t="shared" si="0"/>
        <v>2006</v>
      </c>
      <c r="D253" s="7">
        <v>100</v>
      </c>
      <c r="E253" s="7">
        <v>2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Q253" s="10">
        <v>38886</v>
      </c>
    </row>
    <row r="254" spans="1:17" ht="15.75" customHeight="1" x14ac:dyDescent="0.2">
      <c r="A254" s="1" t="s">
        <v>17</v>
      </c>
      <c r="B254" s="9">
        <v>38595</v>
      </c>
      <c r="C254" s="7">
        <f t="shared" si="0"/>
        <v>2005</v>
      </c>
      <c r="D254" s="7">
        <v>100</v>
      </c>
      <c r="E254" s="7">
        <v>0</v>
      </c>
      <c r="F254" s="7">
        <v>0</v>
      </c>
      <c r="G254" s="7">
        <v>0</v>
      </c>
      <c r="H254" s="7">
        <v>1</v>
      </c>
      <c r="I254" s="7">
        <v>0</v>
      </c>
      <c r="J254" s="7">
        <v>0</v>
      </c>
      <c r="Q254" s="10">
        <v>38592</v>
      </c>
    </row>
    <row r="255" spans="1:17" ht="15.75" customHeight="1" x14ac:dyDescent="0.2">
      <c r="A255" s="1" t="s">
        <v>17</v>
      </c>
      <c r="B255" s="9">
        <v>38587</v>
      </c>
      <c r="C255" s="7">
        <f t="shared" si="0"/>
        <v>2005</v>
      </c>
      <c r="D255" s="7">
        <v>100</v>
      </c>
      <c r="E255" s="7">
        <v>14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Q255" s="10">
        <v>38585</v>
      </c>
    </row>
    <row r="256" spans="1:17" ht="15.75" customHeight="1" x14ac:dyDescent="0.2">
      <c r="A256" s="1" t="s">
        <v>17</v>
      </c>
      <c r="B256" s="9">
        <v>38584</v>
      </c>
      <c r="C256" s="7">
        <f t="shared" si="0"/>
        <v>2005</v>
      </c>
      <c r="D256" s="7">
        <v>100</v>
      </c>
      <c r="E256" s="7">
        <v>15</v>
      </c>
      <c r="F256" s="7">
        <v>1</v>
      </c>
      <c r="G256" s="7">
        <v>1</v>
      </c>
      <c r="H256" s="7">
        <v>0</v>
      </c>
      <c r="I256" s="7">
        <v>0</v>
      </c>
      <c r="J256" s="7">
        <v>0</v>
      </c>
      <c r="Q256" s="10">
        <v>38578</v>
      </c>
    </row>
    <row r="257" spans="1:17" ht="15.75" customHeight="1" x14ac:dyDescent="0.2">
      <c r="A257" s="1" t="s">
        <v>17</v>
      </c>
      <c r="B257" s="9">
        <v>38575</v>
      </c>
      <c r="C257" s="7">
        <f t="shared" ref="C257:C273" si="1">YEAR(B257)</f>
        <v>2005</v>
      </c>
      <c r="D257" s="7">
        <v>100</v>
      </c>
      <c r="E257" s="7">
        <v>44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Q257" s="10">
        <v>38571</v>
      </c>
    </row>
    <row r="258" spans="1:17" ht="15.75" customHeight="1" x14ac:dyDescent="0.2">
      <c r="A258" s="1" t="s">
        <v>17</v>
      </c>
      <c r="B258" s="9">
        <v>38567</v>
      </c>
      <c r="C258" s="7">
        <f t="shared" si="1"/>
        <v>2005</v>
      </c>
      <c r="D258" s="7">
        <v>100</v>
      </c>
      <c r="E258" s="7">
        <v>14</v>
      </c>
      <c r="F258" s="7">
        <v>3</v>
      </c>
      <c r="G258" s="7">
        <v>1</v>
      </c>
      <c r="H258" s="7">
        <v>0</v>
      </c>
      <c r="I258" s="7">
        <v>0</v>
      </c>
      <c r="J258" s="7">
        <v>0</v>
      </c>
      <c r="Q258" s="10">
        <v>38564</v>
      </c>
    </row>
    <row r="259" spans="1:17" ht="15.75" customHeight="1" x14ac:dyDescent="0.2">
      <c r="A259" s="1" t="s">
        <v>17</v>
      </c>
      <c r="B259" s="9">
        <v>38562</v>
      </c>
      <c r="C259" s="7">
        <f t="shared" si="1"/>
        <v>2005</v>
      </c>
      <c r="D259" s="7">
        <v>100</v>
      </c>
      <c r="E259" s="7">
        <v>32</v>
      </c>
      <c r="F259" s="7">
        <v>0</v>
      </c>
      <c r="G259" s="7">
        <v>2</v>
      </c>
      <c r="H259" s="7">
        <v>0</v>
      </c>
      <c r="I259" s="7">
        <v>0</v>
      </c>
      <c r="J259" s="7">
        <v>0</v>
      </c>
      <c r="Q259" s="10">
        <v>38557</v>
      </c>
    </row>
    <row r="260" spans="1:17" ht="15.75" customHeight="1" x14ac:dyDescent="0.2">
      <c r="A260" s="1" t="s">
        <v>17</v>
      </c>
      <c r="B260" s="9">
        <v>38555</v>
      </c>
      <c r="C260" s="7">
        <f t="shared" si="1"/>
        <v>2005</v>
      </c>
      <c r="D260" s="7">
        <v>100</v>
      </c>
      <c r="E260" s="7">
        <v>32</v>
      </c>
      <c r="F260" s="7">
        <v>4</v>
      </c>
      <c r="G260" s="7">
        <v>2</v>
      </c>
      <c r="H260" s="7">
        <v>0</v>
      </c>
      <c r="I260" s="7">
        <v>1</v>
      </c>
      <c r="J260" s="7">
        <v>1</v>
      </c>
      <c r="Q260" s="10">
        <v>38550</v>
      </c>
    </row>
    <row r="261" spans="1:17" ht="15.75" customHeight="1" x14ac:dyDescent="0.2">
      <c r="A261" s="1" t="s">
        <v>17</v>
      </c>
      <c r="B261" s="9">
        <v>38547</v>
      </c>
      <c r="C261" s="7">
        <f t="shared" si="1"/>
        <v>2005</v>
      </c>
      <c r="D261" s="7">
        <v>100</v>
      </c>
      <c r="E261" s="7">
        <v>15</v>
      </c>
      <c r="F261" s="7">
        <v>4</v>
      </c>
      <c r="G261" s="7">
        <v>0</v>
      </c>
      <c r="H261" s="7">
        <v>0</v>
      </c>
      <c r="I261" s="7">
        <v>0</v>
      </c>
      <c r="J261" s="7">
        <v>0</v>
      </c>
      <c r="Q261" s="10">
        <v>38543</v>
      </c>
    </row>
    <row r="262" spans="1:17" ht="15.75" customHeight="1" x14ac:dyDescent="0.2">
      <c r="A262" s="1" t="s">
        <v>17</v>
      </c>
      <c r="B262" s="9">
        <v>38540</v>
      </c>
      <c r="C262" s="7">
        <f t="shared" si="1"/>
        <v>2005</v>
      </c>
      <c r="D262" s="7">
        <v>100</v>
      </c>
      <c r="E262" s="7">
        <v>16</v>
      </c>
      <c r="F262" s="7">
        <v>1</v>
      </c>
      <c r="G262" s="7">
        <v>0</v>
      </c>
      <c r="H262" s="7">
        <v>2</v>
      </c>
      <c r="I262" s="7">
        <v>0</v>
      </c>
      <c r="J262" s="7">
        <v>0</v>
      </c>
      <c r="Q262" s="10">
        <v>38536</v>
      </c>
    </row>
    <row r="263" spans="1:17" ht="15.75" customHeight="1" x14ac:dyDescent="0.2">
      <c r="A263" s="1" t="s">
        <v>17</v>
      </c>
      <c r="B263" s="9">
        <v>37859</v>
      </c>
      <c r="C263" s="7">
        <f t="shared" si="1"/>
        <v>2003</v>
      </c>
      <c r="D263" s="7">
        <v>100</v>
      </c>
      <c r="E263" s="7">
        <v>8</v>
      </c>
      <c r="F263" s="7">
        <v>5</v>
      </c>
      <c r="G263" s="7">
        <v>0</v>
      </c>
      <c r="H263" s="7">
        <v>0</v>
      </c>
      <c r="I263" s="7">
        <v>0</v>
      </c>
      <c r="J263" s="7">
        <v>0</v>
      </c>
      <c r="Q263" s="10">
        <v>37857</v>
      </c>
    </row>
    <row r="264" spans="1:17" ht="15.75" customHeight="1" x14ac:dyDescent="0.2">
      <c r="A264" s="1" t="s">
        <v>17</v>
      </c>
      <c r="B264" s="9">
        <v>37853</v>
      </c>
      <c r="C264" s="7">
        <f t="shared" si="1"/>
        <v>2003</v>
      </c>
      <c r="D264" s="7">
        <v>100</v>
      </c>
      <c r="E264" s="7">
        <v>17</v>
      </c>
      <c r="F264" s="7">
        <v>4</v>
      </c>
      <c r="G264" s="7">
        <v>0</v>
      </c>
      <c r="H264" s="7">
        <v>0</v>
      </c>
      <c r="I264" s="7">
        <v>0</v>
      </c>
      <c r="J264" s="7">
        <v>0</v>
      </c>
      <c r="Q264" s="10">
        <v>37850</v>
      </c>
    </row>
    <row r="265" spans="1:17" ht="15.75" customHeight="1" x14ac:dyDescent="0.2">
      <c r="A265" s="1" t="s">
        <v>17</v>
      </c>
      <c r="B265" s="9">
        <v>37846</v>
      </c>
      <c r="C265" s="7">
        <f t="shared" si="1"/>
        <v>2003</v>
      </c>
      <c r="D265" s="7">
        <v>100</v>
      </c>
      <c r="E265" s="7">
        <v>19</v>
      </c>
      <c r="F265" s="7">
        <v>4</v>
      </c>
      <c r="G265" s="7">
        <v>2</v>
      </c>
      <c r="H265" s="7">
        <v>0</v>
      </c>
      <c r="I265" s="7">
        <v>0</v>
      </c>
      <c r="J265" s="7">
        <v>0</v>
      </c>
      <c r="Q265" s="10">
        <v>37843</v>
      </c>
    </row>
    <row r="266" spans="1:17" ht="15.75" customHeight="1" x14ac:dyDescent="0.2">
      <c r="A266" s="1" t="s">
        <v>17</v>
      </c>
      <c r="B266" s="9">
        <v>37839</v>
      </c>
      <c r="C266" s="7">
        <f t="shared" si="1"/>
        <v>2003</v>
      </c>
      <c r="D266" s="7">
        <v>100</v>
      </c>
      <c r="E266" s="7">
        <v>29</v>
      </c>
      <c r="F266" s="7">
        <v>10</v>
      </c>
      <c r="G266" s="7">
        <v>4</v>
      </c>
      <c r="H266" s="7">
        <v>0</v>
      </c>
      <c r="I266" s="7">
        <v>0</v>
      </c>
      <c r="J266" s="7">
        <v>0</v>
      </c>
      <c r="Q266" s="10">
        <v>37836</v>
      </c>
    </row>
    <row r="267" spans="1:17" ht="15.75" customHeight="1" x14ac:dyDescent="0.2">
      <c r="A267" s="1" t="s">
        <v>17</v>
      </c>
      <c r="B267" s="9">
        <v>37832</v>
      </c>
      <c r="C267" s="7">
        <f t="shared" si="1"/>
        <v>2003</v>
      </c>
      <c r="D267" s="7">
        <v>100</v>
      </c>
      <c r="E267" s="7">
        <v>29</v>
      </c>
      <c r="F267" s="7">
        <v>3</v>
      </c>
      <c r="G267" s="7">
        <v>1</v>
      </c>
      <c r="H267" s="7">
        <v>0</v>
      </c>
      <c r="I267" s="7">
        <v>0</v>
      </c>
      <c r="J267" s="7">
        <v>0</v>
      </c>
      <c r="Q267" s="10">
        <v>37829</v>
      </c>
    </row>
    <row r="268" spans="1:17" ht="15.75" customHeight="1" x14ac:dyDescent="0.2">
      <c r="A268" s="1" t="s">
        <v>17</v>
      </c>
      <c r="B268" s="9">
        <v>37828</v>
      </c>
      <c r="C268" s="7">
        <f t="shared" si="1"/>
        <v>2003</v>
      </c>
      <c r="D268" s="7">
        <v>100</v>
      </c>
      <c r="E268" s="7">
        <v>52</v>
      </c>
      <c r="F268" s="7">
        <v>4</v>
      </c>
      <c r="G268" s="7">
        <v>2</v>
      </c>
      <c r="H268" s="7">
        <v>0</v>
      </c>
      <c r="I268" s="7">
        <v>0</v>
      </c>
      <c r="J268" s="7">
        <v>0</v>
      </c>
      <c r="Q268" s="10">
        <v>37822</v>
      </c>
    </row>
    <row r="269" spans="1:17" ht="15.75" customHeight="1" x14ac:dyDescent="0.2">
      <c r="A269" s="1" t="s">
        <v>17</v>
      </c>
      <c r="B269" s="9">
        <v>37818</v>
      </c>
      <c r="C269" s="7">
        <f t="shared" si="1"/>
        <v>2003</v>
      </c>
      <c r="D269" s="7">
        <v>100</v>
      </c>
      <c r="E269" s="7">
        <v>14</v>
      </c>
      <c r="F269" s="7">
        <v>0</v>
      </c>
      <c r="G269" s="7">
        <v>0</v>
      </c>
      <c r="H269" s="7">
        <v>2</v>
      </c>
      <c r="I269" s="7">
        <v>1</v>
      </c>
      <c r="J269" s="7">
        <v>0</v>
      </c>
      <c r="Q269" s="10">
        <v>37815</v>
      </c>
    </row>
    <row r="270" spans="1:17" ht="15.75" customHeight="1" x14ac:dyDescent="0.2">
      <c r="A270" s="1" t="s">
        <v>17</v>
      </c>
      <c r="B270" s="9">
        <v>37811</v>
      </c>
      <c r="C270" s="7">
        <f t="shared" si="1"/>
        <v>2003</v>
      </c>
      <c r="D270" s="7">
        <v>100</v>
      </c>
      <c r="E270" s="7">
        <v>14</v>
      </c>
      <c r="F270" s="7">
        <v>0</v>
      </c>
      <c r="G270" s="7">
        <v>0</v>
      </c>
      <c r="H270" s="7">
        <v>2</v>
      </c>
      <c r="I270" s="7">
        <v>1</v>
      </c>
      <c r="J270" s="7">
        <v>0</v>
      </c>
      <c r="Q270" s="10">
        <v>37808</v>
      </c>
    </row>
    <row r="271" spans="1:17" ht="15.75" customHeight="1" x14ac:dyDescent="0.2">
      <c r="A271" s="1" t="s">
        <v>17</v>
      </c>
      <c r="B271" s="9">
        <v>37804</v>
      </c>
      <c r="C271" s="7">
        <f t="shared" si="1"/>
        <v>2003</v>
      </c>
      <c r="D271" s="7">
        <v>100</v>
      </c>
      <c r="E271" s="7">
        <v>8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Q271" s="10">
        <v>37801</v>
      </c>
    </row>
    <row r="272" spans="1:17" ht="15.75" customHeight="1" x14ac:dyDescent="0.2">
      <c r="A272" s="1" t="s">
        <v>17</v>
      </c>
      <c r="B272" s="9">
        <v>37797</v>
      </c>
      <c r="C272" s="7">
        <f t="shared" si="1"/>
        <v>2003</v>
      </c>
      <c r="D272" s="7">
        <v>100</v>
      </c>
      <c r="E272" s="7">
        <v>6</v>
      </c>
      <c r="F272" s="7">
        <v>4</v>
      </c>
      <c r="G272" s="7">
        <v>5</v>
      </c>
      <c r="H272" s="7">
        <v>0</v>
      </c>
      <c r="I272" s="7">
        <v>0</v>
      </c>
      <c r="J272" s="7">
        <v>0</v>
      </c>
      <c r="Q272" s="10">
        <v>37794</v>
      </c>
    </row>
    <row r="273" spans="1:17" ht="15.75" customHeight="1" x14ac:dyDescent="0.2">
      <c r="A273" s="1" t="s">
        <v>17</v>
      </c>
      <c r="B273" s="9">
        <v>37790</v>
      </c>
      <c r="C273" s="7">
        <f t="shared" si="1"/>
        <v>2003</v>
      </c>
      <c r="D273" s="7">
        <v>100</v>
      </c>
      <c r="E273" s="7">
        <v>35</v>
      </c>
      <c r="F273" s="7">
        <v>3</v>
      </c>
      <c r="G273" s="7">
        <v>13</v>
      </c>
      <c r="H273" s="7">
        <v>2</v>
      </c>
      <c r="I273" s="7">
        <v>0</v>
      </c>
      <c r="J273" s="7">
        <v>0</v>
      </c>
      <c r="Q273" s="10">
        <v>37787</v>
      </c>
    </row>
    <row r="274" spans="1:17" ht="15.75" customHeight="1" x14ac:dyDescent="0.2">
      <c r="A274" s="5" t="s">
        <v>18</v>
      </c>
      <c r="B274" s="6">
        <v>44349</v>
      </c>
      <c r="C274" s="5">
        <v>2021</v>
      </c>
      <c r="D274" s="5">
        <v>100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P274" s="8"/>
    </row>
    <row r="275" spans="1:17" ht="15.75" customHeight="1" x14ac:dyDescent="0.2">
      <c r="A275" s="5" t="s">
        <v>18</v>
      </c>
      <c r="B275" s="6">
        <v>44356</v>
      </c>
      <c r="C275" s="5">
        <v>2021</v>
      </c>
      <c r="D275" s="5">
        <v>110</v>
      </c>
      <c r="E275" s="5">
        <v>1</v>
      </c>
      <c r="F275" s="5">
        <v>2</v>
      </c>
      <c r="G275" s="5">
        <v>7</v>
      </c>
      <c r="H275" s="5">
        <v>1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P275" s="8"/>
    </row>
    <row r="276" spans="1:17" ht="15.75" customHeight="1" x14ac:dyDescent="0.2">
      <c r="A276" s="5" t="s">
        <v>18</v>
      </c>
      <c r="B276" s="6">
        <v>44363</v>
      </c>
      <c r="C276" s="5">
        <v>2021</v>
      </c>
      <c r="D276" s="5">
        <v>104</v>
      </c>
      <c r="E276" s="5">
        <v>3</v>
      </c>
      <c r="F276" s="5">
        <v>0</v>
      </c>
      <c r="G276" s="5">
        <v>1</v>
      </c>
      <c r="H276" s="5">
        <v>3</v>
      </c>
      <c r="I276" s="5">
        <v>1</v>
      </c>
      <c r="J276" s="5">
        <v>1</v>
      </c>
      <c r="K276" s="5">
        <v>0</v>
      </c>
      <c r="L276" s="5">
        <v>0</v>
      </c>
      <c r="M276" s="5">
        <v>0</v>
      </c>
      <c r="N276" s="5">
        <v>3</v>
      </c>
      <c r="P276" s="8"/>
    </row>
    <row r="277" spans="1:17" ht="15.75" customHeight="1" x14ac:dyDescent="0.2">
      <c r="A277" s="5" t="s">
        <v>18</v>
      </c>
      <c r="B277" s="6">
        <v>44370</v>
      </c>
      <c r="C277" s="5">
        <v>2021</v>
      </c>
      <c r="D277" s="5">
        <v>104</v>
      </c>
      <c r="E277" s="5">
        <v>0</v>
      </c>
      <c r="F277" s="5">
        <v>0</v>
      </c>
      <c r="G277" s="5">
        <v>0</v>
      </c>
      <c r="H277" s="5">
        <v>2</v>
      </c>
      <c r="I277" s="5">
        <v>1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P277" s="8"/>
    </row>
    <row r="278" spans="1:17" ht="15.75" customHeight="1" x14ac:dyDescent="0.2">
      <c r="A278" s="5" t="s">
        <v>18</v>
      </c>
      <c r="B278" s="6">
        <v>44377</v>
      </c>
      <c r="C278" s="5">
        <v>2021</v>
      </c>
      <c r="D278" s="5">
        <v>100</v>
      </c>
      <c r="E278" s="5">
        <v>8</v>
      </c>
      <c r="F278" s="5">
        <v>1</v>
      </c>
      <c r="G278" s="5">
        <v>0</v>
      </c>
      <c r="H278" s="5">
        <v>0</v>
      </c>
      <c r="I278" s="5">
        <v>0</v>
      </c>
      <c r="J278" s="5">
        <v>1</v>
      </c>
      <c r="K278" s="5">
        <v>0</v>
      </c>
      <c r="L278" s="5">
        <v>0</v>
      </c>
      <c r="M278" s="5">
        <v>0</v>
      </c>
      <c r="N278" s="5">
        <v>0</v>
      </c>
      <c r="P278" s="8"/>
    </row>
    <row r="279" spans="1:17" ht="15.75" customHeight="1" x14ac:dyDescent="0.2">
      <c r="A279" s="5" t="s">
        <v>18</v>
      </c>
      <c r="B279" s="6">
        <v>44384</v>
      </c>
      <c r="C279" s="5">
        <v>2021</v>
      </c>
      <c r="D279" s="5">
        <v>100</v>
      </c>
      <c r="E279" s="5">
        <v>17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3</v>
      </c>
      <c r="P279" s="8"/>
    </row>
    <row r="280" spans="1:17" ht="15.75" customHeight="1" x14ac:dyDescent="0.2">
      <c r="A280" s="5" t="s">
        <v>18</v>
      </c>
      <c r="B280" s="6">
        <v>44398</v>
      </c>
      <c r="C280" s="5">
        <v>2021</v>
      </c>
      <c r="D280" s="5">
        <v>100</v>
      </c>
      <c r="E280" s="5">
        <v>47</v>
      </c>
      <c r="F280" s="5">
        <v>1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4</v>
      </c>
      <c r="P280" s="8"/>
    </row>
    <row r="281" spans="1:17" ht="15.75" customHeight="1" x14ac:dyDescent="0.2">
      <c r="A281" s="5" t="s">
        <v>18</v>
      </c>
      <c r="B281" s="6">
        <v>44405</v>
      </c>
      <c r="C281" s="5">
        <v>2021</v>
      </c>
      <c r="D281" s="5">
        <v>100</v>
      </c>
      <c r="E281" s="5">
        <v>9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3</v>
      </c>
      <c r="P281" s="8"/>
    </row>
    <row r="282" spans="1:17" ht="15.75" customHeight="1" x14ac:dyDescent="0.2">
      <c r="A282" s="5" t="s">
        <v>18</v>
      </c>
      <c r="B282" s="6">
        <v>44412</v>
      </c>
      <c r="C282" s="5">
        <v>2021</v>
      </c>
      <c r="D282" s="5">
        <v>100</v>
      </c>
      <c r="E282" s="5">
        <v>10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2</v>
      </c>
      <c r="P282" s="8"/>
    </row>
    <row r="283" spans="1:17" ht="15.75" customHeight="1" x14ac:dyDescent="0.2">
      <c r="A283" s="5" t="s">
        <v>18</v>
      </c>
      <c r="B283" s="6">
        <v>44419</v>
      </c>
      <c r="C283" s="5">
        <v>2021</v>
      </c>
      <c r="D283" s="5">
        <v>100</v>
      </c>
      <c r="E283" s="5">
        <v>5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5</v>
      </c>
      <c r="P283" s="8"/>
    </row>
    <row r="284" spans="1:17" ht="15.75" customHeight="1" x14ac:dyDescent="0.2">
      <c r="A284" s="5" t="s">
        <v>18</v>
      </c>
      <c r="B284" s="6">
        <v>44426</v>
      </c>
      <c r="C284" s="5">
        <v>2021</v>
      </c>
      <c r="D284" s="5">
        <v>100</v>
      </c>
      <c r="E284" s="5">
        <v>7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5</v>
      </c>
      <c r="P284" s="8"/>
    </row>
    <row r="285" spans="1:17" ht="15.75" customHeight="1" x14ac:dyDescent="0.2">
      <c r="A285" s="5" t="s">
        <v>19</v>
      </c>
      <c r="B285" s="6">
        <v>44348</v>
      </c>
      <c r="C285" s="5">
        <v>2021</v>
      </c>
      <c r="D285" s="5">
        <v>80</v>
      </c>
      <c r="E285" s="5">
        <v>4</v>
      </c>
      <c r="F285" s="5">
        <v>0</v>
      </c>
      <c r="G285" s="5">
        <v>1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P285" s="8"/>
    </row>
    <row r="286" spans="1:17" ht="15.75" customHeight="1" x14ac:dyDescent="0.2">
      <c r="A286" s="5" t="s">
        <v>19</v>
      </c>
      <c r="B286" s="6">
        <v>44355</v>
      </c>
      <c r="C286" s="5">
        <v>2021</v>
      </c>
      <c r="D286" s="5">
        <v>105</v>
      </c>
      <c r="E286" s="5">
        <v>15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P286" s="8"/>
    </row>
    <row r="287" spans="1:17" ht="15.75" customHeight="1" x14ac:dyDescent="0.2">
      <c r="A287" s="5" t="s">
        <v>19</v>
      </c>
      <c r="B287" s="6">
        <v>44362</v>
      </c>
      <c r="C287" s="5">
        <v>2021</v>
      </c>
      <c r="D287" s="5">
        <v>106</v>
      </c>
      <c r="E287" s="5">
        <v>6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P287" s="8"/>
    </row>
    <row r="288" spans="1:17" ht="15.75" customHeight="1" x14ac:dyDescent="0.2">
      <c r="A288" s="5" t="s">
        <v>19</v>
      </c>
      <c r="B288" s="6">
        <v>44369</v>
      </c>
      <c r="C288" s="5">
        <v>2021</v>
      </c>
      <c r="D288" s="5">
        <v>101</v>
      </c>
      <c r="E288" s="5">
        <v>9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4</v>
      </c>
      <c r="P288" s="8"/>
    </row>
    <row r="289" spans="1:17" ht="15.75" customHeight="1" x14ac:dyDescent="0.2">
      <c r="A289" s="5" t="s">
        <v>19</v>
      </c>
      <c r="B289" s="6">
        <v>44376</v>
      </c>
      <c r="C289" s="5">
        <v>2021</v>
      </c>
      <c r="D289" s="5">
        <v>100</v>
      </c>
      <c r="E289" s="5">
        <v>9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1</v>
      </c>
      <c r="P289" s="8"/>
    </row>
    <row r="290" spans="1:17" ht="15.75" customHeight="1" x14ac:dyDescent="0.2">
      <c r="A290" s="5" t="s">
        <v>19</v>
      </c>
      <c r="B290" s="6">
        <v>44383</v>
      </c>
      <c r="C290" s="5">
        <v>2021</v>
      </c>
      <c r="D290" s="5">
        <v>108</v>
      </c>
      <c r="E290" s="5">
        <v>8</v>
      </c>
      <c r="F290" s="5">
        <v>1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1</v>
      </c>
      <c r="P290" s="8"/>
    </row>
    <row r="291" spans="1:17" ht="15.75" customHeight="1" x14ac:dyDescent="0.2">
      <c r="A291" s="5" t="s">
        <v>19</v>
      </c>
      <c r="B291" s="6">
        <v>44390</v>
      </c>
      <c r="C291" s="5">
        <v>2021</v>
      </c>
      <c r="D291" s="5">
        <v>100</v>
      </c>
      <c r="E291" s="5">
        <v>64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4</v>
      </c>
      <c r="P291" s="8"/>
    </row>
    <row r="292" spans="1:17" ht="15.75" customHeight="1" x14ac:dyDescent="0.2">
      <c r="A292" s="5" t="s">
        <v>19</v>
      </c>
      <c r="B292" s="6">
        <v>44397</v>
      </c>
      <c r="C292" s="5">
        <v>2021</v>
      </c>
      <c r="D292" s="5">
        <v>100</v>
      </c>
      <c r="E292" s="5">
        <v>7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2</v>
      </c>
      <c r="P292" s="8"/>
    </row>
    <row r="293" spans="1:17" ht="15.75" customHeight="1" x14ac:dyDescent="0.2">
      <c r="A293" s="5" t="s">
        <v>19</v>
      </c>
      <c r="B293" s="6">
        <v>44404</v>
      </c>
      <c r="C293" s="5">
        <v>2021</v>
      </c>
      <c r="D293" s="5">
        <v>102</v>
      </c>
      <c r="E293" s="5">
        <v>31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2</v>
      </c>
      <c r="P293" s="8"/>
    </row>
    <row r="294" spans="1:17" ht="15.75" customHeight="1" x14ac:dyDescent="0.2">
      <c r="A294" s="5" t="s">
        <v>19</v>
      </c>
      <c r="B294" s="6">
        <v>44411</v>
      </c>
      <c r="C294" s="5">
        <v>2021</v>
      </c>
      <c r="D294" s="5">
        <v>103</v>
      </c>
      <c r="E294" s="5">
        <v>35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1</v>
      </c>
      <c r="P294" s="8"/>
    </row>
    <row r="295" spans="1:17" ht="15.75" customHeight="1" x14ac:dyDescent="0.2">
      <c r="A295" s="5" t="s">
        <v>19</v>
      </c>
      <c r="B295" s="6">
        <v>44418</v>
      </c>
      <c r="C295" s="5">
        <v>2021</v>
      </c>
      <c r="D295" s="5">
        <v>100</v>
      </c>
      <c r="E295" s="5">
        <v>5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2</v>
      </c>
      <c r="P295" s="8"/>
    </row>
    <row r="296" spans="1:17" ht="15.75" customHeight="1" x14ac:dyDescent="0.2">
      <c r="A296" s="5" t="s">
        <v>19</v>
      </c>
      <c r="B296" s="6">
        <v>44425</v>
      </c>
      <c r="C296" s="5">
        <v>2021</v>
      </c>
      <c r="D296" s="5">
        <v>100</v>
      </c>
      <c r="E296" s="5">
        <v>4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2</v>
      </c>
      <c r="P296" s="8"/>
    </row>
    <row r="297" spans="1:17" ht="15.75" customHeight="1" x14ac:dyDescent="0.2">
      <c r="A297" s="5" t="s">
        <v>17</v>
      </c>
      <c r="B297" s="6">
        <v>44364</v>
      </c>
      <c r="C297" s="5">
        <v>2021</v>
      </c>
      <c r="D297" s="5">
        <v>76</v>
      </c>
      <c r="E297" s="5">
        <v>0</v>
      </c>
      <c r="F297" s="5">
        <v>0</v>
      </c>
      <c r="G297" s="5">
        <v>0</v>
      </c>
      <c r="H297" s="5">
        <v>0</v>
      </c>
      <c r="I297" s="5">
        <v>1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8"/>
    </row>
    <row r="298" spans="1:17" ht="15.75" customHeight="1" x14ac:dyDescent="0.2">
      <c r="A298" s="5" t="s">
        <v>17</v>
      </c>
      <c r="B298" s="6">
        <v>44378</v>
      </c>
      <c r="C298" s="5">
        <v>2021</v>
      </c>
      <c r="D298" s="5">
        <v>112</v>
      </c>
      <c r="E298" s="5">
        <v>42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6</v>
      </c>
      <c r="O298" s="8"/>
    </row>
    <row r="299" spans="1:17" ht="15.75" customHeight="1" x14ac:dyDescent="0.2">
      <c r="A299" s="5" t="s">
        <v>17</v>
      </c>
      <c r="B299" s="6">
        <v>44385</v>
      </c>
      <c r="C299" s="5">
        <v>2021</v>
      </c>
      <c r="D299" s="5">
        <v>110</v>
      </c>
      <c r="E299" s="5">
        <v>28</v>
      </c>
      <c r="F299" s="5">
        <v>3</v>
      </c>
      <c r="G299" s="5">
        <v>4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2</v>
      </c>
      <c r="O299" s="8"/>
    </row>
    <row r="300" spans="1:17" ht="15.75" customHeight="1" x14ac:dyDescent="0.2">
      <c r="A300" s="5" t="s">
        <v>17</v>
      </c>
      <c r="B300" s="6">
        <v>44392</v>
      </c>
      <c r="C300" s="5">
        <v>2021</v>
      </c>
      <c r="D300" s="5">
        <v>100</v>
      </c>
      <c r="E300" s="5">
        <v>56</v>
      </c>
      <c r="F300" s="5">
        <v>1</v>
      </c>
      <c r="G300" s="5">
        <v>2</v>
      </c>
      <c r="H300" s="5">
        <v>1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9</v>
      </c>
      <c r="O300" s="8"/>
    </row>
    <row r="301" spans="1:17" ht="15.75" customHeight="1" x14ac:dyDescent="0.2">
      <c r="A301" s="5" t="s">
        <v>17</v>
      </c>
      <c r="B301" s="6">
        <v>44413</v>
      </c>
      <c r="C301" s="5">
        <v>2021</v>
      </c>
      <c r="D301" s="5">
        <v>108</v>
      </c>
      <c r="E301" s="5">
        <v>10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8"/>
    </row>
    <row r="302" spans="1:17" ht="15.75" customHeight="1" x14ac:dyDescent="0.2">
      <c r="A302" s="5" t="s">
        <v>17</v>
      </c>
      <c r="B302" s="6">
        <v>44420</v>
      </c>
      <c r="C302" s="5">
        <v>2021</v>
      </c>
      <c r="D302" s="5">
        <v>100</v>
      </c>
      <c r="E302" s="5">
        <v>11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4</v>
      </c>
      <c r="O302" s="8"/>
    </row>
    <row r="303" spans="1:17" ht="15.75" customHeight="1" x14ac:dyDescent="0.2">
      <c r="A303" s="5" t="s">
        <v>17</v>
      </c>
      <c r="B303" s="6">
        <v>44427</v>
      </c>
      <c r="C303" s="5">
        <v>2021</v>
      </c>
      <c r="D303" s="5">
        <v>100</v>
      </c>
      <c r="E303" s="5">
        <v>4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4</v>
      </c>
      <c r="O303" s="8"/>
    </row>
    <row r="304" spans="1:17" ht="15.75" customHeight="1" x14ac:dyDescent="0.2">
      <c r="A304" s="11" t="s">
        <v>17</v>
      </c>
      <c r="B304" s="6">
        <v>44714</v>
      </c>
      <c r="C304" s="5">
        <v>2022</v>
      </c>
      <c r="D304" s="11">
        <v>108</v>
      </c>
      <c r="E304" s="11">
        <v>12</v>
      </c>
      <c r="F304" s="11">
        <v>0</v>
      </c>
      <c r="G304" s="11">
        <v>1</v>
      </c>
      <c r="H304" s="11">
        <v>0</v>
      </c>
      <c r="I304" s="11">
        <v>0</v>
      </c>
      <c r="J304" s="11">
        <v>0</v>
      </c>
      <c r="K304" s="11">
        <v>0</v>
      </c>
      <c r="Q304" s="8"/>
    </row>
    <row r="305" spans="1:17" ht="15.75" customHeight="1" x14ac:dyDescent="0.2">
      <c r="A305" s="11" t="s">
        <v>17</v>
      </c>
      <c r="B305" s="6">
        <v>44721</v>
      </c>
      <c r="C305" s="5">
        <v>2022</v>
      </c>
      <c r="D305" s="11">
        <v>102</v>
      </c>
      <c r="E305" s="11">
        <v>7</v>
      </c>
      <c r="F305" s="11">
        <v>4</v>
      </c>
      <c r="G305" s="11">
        <v>4</v>
      </c>
      <c r="H305" s="11">
        <v>0</v>
      </c>
      <c r="I305" s="11">
        <v>0</v>
      </c>
      <c r="J305" s="11">
        <v>0</v>
      </c>
      <c r="K305" s="11">
        <v>0</v>
      </c>
      <c r="Q305" s="8"/>
    </row>
    <row r="306" spans="1:17" ht="15.75" customHeight="1" x14ac:dyDescent="0.2">
      <c r="A306" s="11" t="s">
        <v>17</v>
      </c>
      <c r="B306" s="6">
        <v>44728</v>
      </c>
      <c r="C306" s="5">
        <v>2022</v>
      </c>
      <c r="D306" s="11">
        <v>111</v>
      </c>
      <c r="E306" s="11">
        <v>3</v>
      </c>
      <c r="F306" s="11">
        <v>1</v>
      </c>
      <c r="G306" s="11">
        <v>0</v>
      </c>
      <c r="H306" s="11">
        <v>0</v>
      </c>
      <c r="I306" s="11">
        <v>0</v>
      </c>
      <c r="J306" s="11">
        <v>0</v>
      </c>
      <c r="K306" s="11">
        <v>0</v>
      </c>
      <c r="Q306" s="8"/>
    </row>
    <row r="307" spans="1:17" ht="15.75" customHeight="1" x14ac:dyDescent="0.2">
      <c r="A307" s="11" t="s">
        <v>17</v>
      </c>
      <c r="B307" s="6">
        <v>44735</v>
      </c>
      <c r="C307" s="5">
        <v>2022</v>
      </c>
      <c r="D307" s="11">
        <v>135</v>
      </c>
      <c r="E307" s="11">
        <v>0</v>
      </c>
      <c r="F307" s="11">
        <v>1</v>
      </c>
      <c r="G307" s="11">
        <v>0</v>
      </c>
      <c r="H307" s="11">
        <v>0</v>
      </c>
      <c r="I307" s="11">
        <v>0</v>
      </c>
      <c r="J307" s="11">
        <v>0</v>
      </c>
      <c r="K307" s="11">
        <v>0</v>
      </c>
      <c r="Q307" s="8"/>
    </row>
    <row r="308" spans="1:17" ht="15.75" customHeight="1" x14ac:dyDescent="0.2">
      <c r="A308" s="11" t="s">
        <v>17</v>
      </c>
      <c r="B308" s="6">
        <v>44742</v>
      </c>
      <c r="C308" s="5">
        <v>2022</v>
      </c>
      <c r="D308" s="11">
        <v>151</v>
      </c>
      <c r="E308" s="11">
        <v>1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Q308" s="8"/>
    </row>
    <row r="309" spans="1:17" ht="15.75" customHeight="1" x14ac:dyDescent="0.2">
      <c r="A309" s="11" t="s">
        <v>17</v>
      </c>
      <c r="B309" s="6">
        <v>44749</v>
      </c>
      <c r="C309" s="5">
        <v>2022</v>
      </c>
      <c r="D309" s="11">
        <v>108</v>
      </c>
      <c r="E309" s="11">
        <v>7</v>
      </c>
      <c r="F309" s="11">
        <v>0</v>
      </c>
      <c r="G309" s="11">
        <v>0</v>
      </c>
      <c r="H309" s="11">
        <v>0</v>
      </c>
      <c r="I309" s="11">
        <v>0</v>
      </c>
      <c r="J309" s="11">
        <v>0</v>
      </c>
      <c r="K309" s="11">
        <v>0</v>
      </c>
      <c r="Q309" s="8"/>
    </row>
    <row r="310" spans="1:17" ht="15.75" customHeight="1" x14ac:dyDescent="0.2">
      <c r="A310" s="11" t="s">
        <v>17</v>
      </c>
      <c r="B310" s="6">
        <v>44756</v>
      </c>
      <c r="C310" s="5">
        <v>2022</v>
      </c>
      <c r="D310" s="11">
        <v>136</v>
      </c>
      <c r="E310" s="11">
        <v>8</v>
      </c>
      <c r="F310" s="11">
        <v>0</v>
      </c>
      <c r="G310" s="11">
        <v>0</v>
      </c>
      <c r="H310" s="11">
        <v>0</v>
      </c>
      <c r="I310" s="11">
        <v>0</v>
      </c>
      <c r="J310" s="11">
        <v>0</v>
      </c>
      <c r="K310" s="11">
        <v>0</v>
      </c>
      <c r="Q310" s="8"/>
    </row>
    <row r="311" spans="1:17" ht="15.75" customHeight="1" x14ac:dyDescent="0.2">
      <c r="A311" s="11" t="s">
        <v>17</v>
      </c>
      <c r="B311" s="6">
        <v>44763</v>
      </c>
      <c r="C311" s="5">
        <v>2022</v>
      </c>
      <c r="D311" s="11">
        <v>102</v>
      </c>
      <c r="E311" s="11">
        <v>5</v>
      </c>
      <c r="F311" s="11">
        <v>0</v>
      </c>
      <c r="G311" s="11">
        <v>0</v>
      </c>
      <c r="H311" s="11">
        <v>0</v>
      </c>
      <c r="I311" s="11">
        <v>0</v>
      </c>
      <c r="J311" s="11">
        <v>0</v>
      </c>
      <c r="K311" s="11">
        <v>0</v>
      </c>
      <c r="Q311" s="8"/>
    </row>
    <row r="312" spans="1:17" ht="15.75" customHeight="1" x14ac:dyDescent="0.2">
      <c r="A312" s="11" t="s">
        <v>17</v>
      </c>
      <c r="B312" s="6">
        <v>44777</v>
      </c>
      <c r="C312" s="5">
        <v>2022</v>
      </c>
      <c r="D312" s="11">
        <v>114</v>
      </c>
      <c r="E312" s="11">
        <v>0</v>
      </c>
      <c r="F312" s="11">
        <v>1</v>
      </c>
      <c r="G312" s="11">
        <v>0</v>
      </c>
      <c r="H312" s="11">
        <v>0</v>
      </c>
      <c r="I312" s="11">
        <v>0</v>
      </c>
      <c r="J312" s="11">
        <v>0</v>
      </c>
      <c r="K312" s="11">
        <v>0</v>
      </c>
      <c r="Q312" s="8"/>
    </row>
    <row r="313" spans="1:17" ht="15.75" customHeight="1" x14ac:dyDescent="0.2">
      <c r="A313" s="11" t="s">
        <v>17</v>
      </c>
      <c r="B313" s="6">
        <v>44784</v>
      </c>
      <c r="C313" s="5">
        <v>2022</v>
      </c>
      <c r="D313" s="11">
        <v>99</v>
      </c>
      <c r="E313" s="11">
        <v>7</v>
      </c>
      <c r="F313" s="11">
        <v>0</v>
      </c>
      <c r="G313" s="11">
        <v>0</v>
      </c>
      <c r="H313" s="11">
        <v>0</v>
      </c>
      <c r="I313" s="11">
        <v>1</v>
      </c>
      <c r="J313" s="11">
        <v>0</v>
      </c>
      <c r="K313" s="11">
        <v>0</v>
      </c>
      <c r="Q313" s="8"/>
    </row>
    <row r="314" spans="1:17" ht="15.75" customHeight="1" x14ac:dyDescent="0.2">
      <c r="A314" s="11" t="s">
        <v>17</v>
      </c>
      <c r="B314" s="6">
        <v>44791</v>
      </c>
      <c r="C314" s="5">
        <v>2022</v>
      </c>
      <c r="D314" s="11">
        <v>99</v>
      </c>
      <c r="E314" s="11">
        <v>11</v>
      </c>
      <c r="F314" s="11">
        <v>0</v>
      </c>
      <c r="G314" s="11">
        <v>0</v>
      </c>
      <c r="H314" s="11">
        <v>0</v>
      </c>
      <c r="I314" s="11">
        <v>0</v>
      </c>
      <c r="J314" s="11">
        <v>0</v>
      </c>
      <c r="K314" s="11">
        <v>0</v>
      </c>
      <c r="Q314" s="8"/>
    </row>
    <row r="315" spans="1:17" ht="15.75" customHeight="1" x14ac:dyDescent="0.2">
      <c r="A315" s="11" t="s">
        <v>17</v>
      </c>
      <c r="B315" s="6">
        <v>44798</v>
      </c>
      <c r="C315" s="5">
        <v>2022</v>
      </c>
      <c r="D315" s="11">
        <v>105</v>
      </c>
      <c r="E315" s="11">
        <v>2</v>
      </c>
      <c r="F315" s="11">
        <v>0</v>
      </c>
      <c r="G315" s="11">
        <v>0</v>
      </c>
      <c r="H315" s="11">
        <v>0</v>
      </c>
      <c r="I315" s="11">
        <v>0</v>
      </c>
      <c r="J315" s="11">
        <v>0</v>
      </c>
      <c r="K315" s="11">
        <v>0</v>
      </c>
      <c r="Q315" s="8"/>
    </row>
    <row r="316" spans="1:17" ht="15.75" customHeight="1" x14ac:dyDescent="0.2">
      <c r="A316" s="11" t="s">
        <v>19</v>
      </c>
      <c r="B316" s="6">
        <v>44719</v>
      </c>
      <c r="C316" s="5">
        <v>2022</v>
      </c>
      <c r="D316" s="11">
        <v>118</v>
      </c>
      <c r="E316" s="11">
        <v>9</v>
      </c>
      <c r="F316" s="11">
        <v>0</v>
      </c>
      <c r="G316" s="11">
        <v>0</v>
      </c>
      <c r="H316" s="11">
        <v>0</v>
      </c>
      <c r="I316" s="11">
        <v>0</v>
      </c>
      <c r="J316" s="11">
        <v>0</v>
      </c>
      <c r="K316" s="11">
        <v>0</v>
      </c>
      <c r="Q316" s="8"/>
    </row>
    <row r="317" spans="1:17" ht="15.75" customHeight="1" x14ac:dyDescent="0.2">
      <c r="A317" s="11" t="s">
        <v>19</v>
      </c>
      <c r="B317" s="6">
        <v>44726</v>
      </c>
      <c r="C317" s="5">
        <v>2022</v>
      </c>
      <c r="D317" s="11">
        <v>108</v>
      </c>
      <c r="E317" s="11">
        <v>2</v>
      </c>
      <c r="F317" s="11">
        <v>0</v>
      </c>
      <c r="G317" s="11">
        <v>0</v>
      </c>
      <c r="H317" s="11">
        <v>0</v>
      </c>
      <c r="I317" s="11">
        <v>0</v>
      </c>
      <c r="J317" s="11">
        <v>0</v>
      </c>
      <c r="K317" s="11">
        <v>0</v>
      </c>
      <c r="Q317" s="8"/>
    </row>
    <row r="318" spans="1:17" ht="15.75" customHeight="1" x14ac:dyDescent="0.2">
      <c r="A318" s="11" t="s">
        <v>19</v>
      </c>
      <c r="B318" s="6">
        <v>44733</v>
      </c>
      <c r="C318" s="5">
        <v>2022</v>
      </c>
      <c r="D318" s="11">
        <v>101</v>
      </c>
      <c r="E318" s="11">
        <v>3</v>
      </c>
      <c r="F318" s="11">
        <v>0</v>
      </c>
      <c r="G318" s="11">
        <v>0</v>
      </c>
      <c r="H318" s="11">
        <v>0</v>
      </c>
      <c r="I318" s="11">
        <v>0</v>
      </c>
      <c r="J318" s="11">
        <v>0</v>
      </c>
      <c r="K318" s="11">
        <v>0</v>
      </c>
      <c r="Q318" s="8"/>
    </row>
    <row r="319" spans="1:17" ht="15.75" customHeight="1" x14ac:dyDescent="0.2">
      <c r="A319" s="11" t="s">
        <v>19</v>
      </c>
      <c r="B319" s="6">
        <v>44740</v>
      </c>
      <c r="C319" s="5">
        <v>2022</v>
      </c>
      <c r="D319" s="11">
        <v>103</v>
      </c>
      <c r="E319" s="11">
        <v>0</v>
      </c>
      <c r="F319" s="11">
        <v>0</v>
      </c>
      <c r="G319" s="11">
        <v>0</v>
      </c>
      <c r="H319" s="11">
        <v>0</v>
      </c>
      <c r="I319" s="11">
        <v>0</v>
      </c>
      <c r="J319" s="11">
        <v>0</v>
      </c>
      <c r="K319" s="11">
        <v>0</v>
      </c>
      <c r="Q319" s="8"/>
    </row>
    <row r="320" spans="1:17" ht="15.75" customHeight="1" x14ac:dyDescent="0.2">
      <c r="A320" s="11" t="s">
        <v>19</v>
      </c>
      <c r="B320" s="6">
        <v>44747</v>
      </c>
      <c r="C320" s="5">
        <v>2022</v>
      </c>
      <c r="D320" s="11">
        <v>101</v>
      </c>
      <c r="E320" s="11">
        <v>1</v>
      </c>
      <c r="F320" s="11">
        <v>0</v>
      </c>
      <c r="G320" s="11">
        <v>0</v>
      </c>
      <c r="H320" s="11">
        <v>0</v>
      </c>
      <c r="I320" s="11">
        <v>0</v>
      </c>
      <c r="J320" s="11">
        <v>0</v>
      </c>
      <c r="K320" s="11">
        <v>0</v>
      </c>
      <c r="Q320" s="8"/>
    </row>
    <row r="321" spans="1:17" ht="15.75" customHeight="1" x14ac:dyDescent="0.2">
      <c r="A321" s="11" t="s">
        <v>19</v>
      </c>
      <c r="B321" s="6">
        <v>44754</v>
      </c>
      <c r="C321" s="5">
        <v>2022</v>
      </c>
      <c r="D321" s="11">
        <v>124</v>
      </c>
      <c r="E321" s="11">
        <v>6</v>
      </c>
      <c r="F321" s="11">
        <v>0</v>
      </c>
      <c r="G321" s="11">
        <v>0</v>
      </c>
      <c r="H321" s="11">
        <v>0</v>
      </c>
      <c r="I321" s="11">
        <v>0</v>
      </c>
      <c r="J321" s="11">
        <v>0</v>
      </c>
      <c r="K321" s="11">
        <v>0</v>
      </c>
      <c r="Q321" s="8"/>
    </row>
    <row r="322" spans="1:17" ht="15.75" customHeight="1" x14ac:dyDescent="0.2">
      <c r="A322" s="11" t="s">
        <v>19</v>
      </c>
      <c r="B322" s="6">
        <v>44761</v>
      </c>
      <c r="C322" s="5">
        <v>2022</v>
      </c>
      <c r="D322" s="11">
        <v>100</v>
      </c>
      <c r="E322" s="11">
        <v>26</v>
      </c>
      <c r="F322" s="11">
        <v>1</v>
      </c>
      <c r="G322" s="11">
        <v>5</v>
      </c>
      <c r="H322" s="11">
        <v>1</v>
      </c>
      <c r="I322" s="11">
        <v>0</v>
      </c>
      <c r="J322" s="11">
        <v>0</v>
      </c>
      <c r="K322" s="11">
        <v>0</v>
      </c>
      <c r="Q322" s="8"/>
    </row>
    <row r="323" spans="1:17" ht="15.75" customHeight="1" x14ac:dyDescent="0.2">
      <c r="A323" s="11" t="s">
        <v>19</v>
      </c>
      <c r="B323" s="6">
        <v>44768</v>
      </c>
      <c r="C323" s="5">
        <v>2022</v>
      </c>
      <c r="D323" s="11">
        <v>101</v>
      </c>
      <c r="E323" s="11">
        <v>13</v>
      </c>
      <c r="F323" s="11">
        <v>1</v>
      </c>
      <c r="G323" s="11">
        <v>0</v>
      </c>
      <c r="H323" s="11">
        <v>0</v>
      </c>
      <c r="I323" s="11">
        <v>0</v>
      </c>
      <c r="J323" s="11">
        <v>0</v>
      </c>
      <c r="K323" s="11">
        <v>0</v>
      </c>
      <c r="Q323" s="8"/>
    </row>
    <row r="324" spans="1:17" ht="15.75" customHeight="1" x14ac:dyDescent="0.2">
      <c r="A324" s="11" t="s">
        <v>19</v>
      </c>
      <c r="B324" s="6">
        <v>44775</v>
      </c>
      <c r="C324" s="5">
        <v>2022</v>
      </c>
      <c r="D324" s="11">
        <v>107</v>
      </c>
      <c r="E324" s="11">
        <v>2</v>
      </c>
      <c r="F324" s="11">
        <v>0</v>
      </c>
      <c r="G324" s="11">
        <v>0</v>
      </c>
      <c r="H324" s="11">
        <v>0</v>
      </c>
      <c r="I324" s="11">
        <v>0</v>
      </c>
      <c r="J324" s="11">
        <v>0</v>
      </c>
      <c r="K324" s="11">
        <v>0</v>
      </c>
      <c r="Q324" s="8"/>
    </row>
    <row r="325" spans="1:17" ht="15.75" customHeight="1" x14ac:dyDescent="0.2">
      <c r="A325" s="11" t="s">
        <v>19</v>
      </c>
      <c r="B325" s="6">
        <v>44782</v>
      </c>
      <c r="C325" s="5">
        <v>2022</v>
      </c>
      <c r="D325" s="11">
        <v>101</v>
      </c>
      <c r="E325" s="11">
        <v>1</v>
      </c>
      <c r="F325" s="11">
        <v>0</v>
      </c>
      <c r="G325" s="11">
        <v>0</v>
      </c>
      <c r="H325" s="11">
        <v>0</v>
      </c>
      <c r="I325" s="11">
        <v>0</v>
      </c>
      <c r="J325" s="11">
        <v>1</v>
      </c>
      <c r="K325" s="11">
        <v>0</v>
      </c>
      <c r="Q325" s="8"/>
    </row>
    <row r="326" spans="1:17" ht="15.75" customHeight="1" x14ac:dyDescent="0.2">
      <c r="A326" s="11" t="s">
        <v>19</v>
      </c>
      <c r="B326" s="6">
        <v>44789</v>
      </c>
      <c r="C326" s="5">
        <v>2022</v>
      </c>
      <c r="D326" s="11">
        <v>99</v>
      </c>
      <c r="E326" s="11">
        <v>6</v>
      </c>
      <c r="F326" s="11">
        <v>0</v>
      </c>
      <c r="G326" s="11">
        <v>0</v>
      </c>
      <c r="H326" s="11">
        <v>0</v>
      </c>
      <c r="I326" s="11">
        <v>0</v>
      </c>
      <c r="J326" s="11">
        <v>0</v>
      </c>
      <c r="K326" s="11">
        <v>0</v>
      </c>
      <c r="Q326" s="8"/>
    </row>
    <row r="327" spans="1:17" ht="15.75" customHeight="1" x14ac:dyDescent="0.2">
      <c r="A327" s="11" t="s">
        <v>19</v>
      </c>
      <c r="B327" s="6">
        <v>44796</v>
      </c>
      <c r="C327" s="5">
        <v>2022</v>
      </c>
      <c r="D327" s="11">
        <v>96</v>
      </c>
      <c r="E327" s="11">
        <v>7</v>
      </c>
      <c r="F327" s="11">
        <v>0</v>
      </c>
      <c r="G327" s="11">
        <v>0</v>
      </c>
      <c r="H327" s="11">
        <v>0</v>
      </c>
      <c r="I327" s="11">
        <v>0</v>
      </c>
      <c r="J327" s="11">
        <v>0</v>
      </c>
      <c r="K327" s="11">
        <v>0</v>
      </c>
      <c r="Q327" s="8"/>
    </row>
    <row r="328" spans="1:17" ht="15.75" customHeight="1" x14ac:dyDescent="0.2">
      <c r="A328" s="11" t="s">
        <v>18</v>
      </c>
      <c r="B328" s="6">
        <v>44727</v>
      </c>
      <c r="C328" s="5">
        <v>2022</v>
      </c>
      <c r="D328" s="11">
        <v>109</v>
      </c>
      <c r="E328" s="11">
        <v>1</v>
      </c>
      <c r="F328" s="11">
        <v>0</v>
      </c>
      <c r="G328" s="11">
        <v>0</v>
      </c>
      <c r="H328" s="11">
        <v>0</v>
      </c>
      <c r="I328" s="11">
        <v>0</v>
      </c>
      <c r="J328" s="11">
        <v>0</v>
      </c>
      <c r="K328" s="11">
        <v>0</v>
      </c>
      <c r="Q328" s="8"/>
    </row>
    <row r="329" spans="1:17" ht="15.75" customHeight="1" x14ac:dyDescent="0.2">
      <c r="A329" s="11" t="s">
        <v>18</v>
      </c>
      <c r="B329" s="6">
        <v>44734</v>
      </c>
      <c r="C329" s="5">
        <v>2022</v>
      </c>
      <c r="D329" s="11">
        <v>113</v>
      </c>
      <c r="E329" s="11">
        <v>5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Q329" s="8"/>
    </row>
    <row r="330" spans="1:17" ht="15.75" customHeight="1" x14ac:dyDescent="0.2">
      <c r="A330" s="11" t="s">
        <v>18</v>
      </c>
      <c r="B330" s="6">
        <v>44741</v>
      </c>
      <c r="C330" s="5">
        <v>2022</v>
      </c>
      <c r="D330" s="11">
        <v>182</v>
      </c>
      <c r="E330" s="11">
        <v>3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Q330" s="8"/>
    </row>
    <row r="331" spans="1:17" ht="15.75" customHeight="1" x14ac:dyDescent="0.2">
      <c r="A331" s="11" t="s">
        <v>18</v>
      </c>
      <c r="B331" s="6">
        <v>44748</v>
      </c>
      <c r="C331" s="5">
        <v>2022</v>
      </c>
      <c r="D331" s="11">
        <v>106</v>
      </c>
      <c r="E331" s="11">
        <v>5</v>
      </c>
      <c r="F331" s="11">
        <v>0</v>
      </c>
      <c r="G331" s="11">
        <v>0</v>
      </c>
      <c r="H331" s="11">
        <v>1</v>
      </c>
      <c r="I331" s="11">
        <v>0</v>
      </c>
      <c r="J331" s="11">
        <v>0</v>
      </c>
      <c r="K331" s="11">
        <v>0</v>
      </c>
      <c r="Q331" s="8"/>
    </row>
    <row r="332" spans="1:17" ht="15.75" customHeight="1" x14ac:dyDescent="0.2">
      <c r="A332" s="11" t="s">
        <v>18</v>
      </c>
      <c r="B332" s="6">
        <v>44755</v>
      </c>
      <c r="C332" s="5">
        <v>2022</v>
      </c>
      <c r="D332" s="11">
        <v>109</v>
      </c>
      <c r="E332" s="11">
        <v>12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Q332" s="8"/>
    </row>
    <row r="333" spans="1:17" ht="15.75" customHeight="1" x14ac:dyDescent="0.2">
      <c r="A333" s="11" t="s">
        <v>18</v>
      </c>
      <c r="B333" s="6">
        <v>44762</v>
      </c>
      <c r="C333" s="5">
        <v>2022</v>
      </c>
      <c r="D333" s="11">
        <v>106</v>
      </c>
      <c r="E333" s="11">
        <v>25</v>
      </c>
      <c r="F333" s="11">
        <v>2</v>
      </c>
      <c r="G333" s="11">
        <v>2</v>
      </c>
      <c r="H333" s="11">
        <v>0</v>
      </c>
      <c r="I333" s="11">
        <v>0</v>
      </c>
      <c r="J333" s="11">
        <v>0</v>
      </c>
      <c r="K333" s="11">
        <v>0</v>
      </c>
      <c r="Q333" s="8"/>
    </row>
    <row r="334" spans="1:17" ht="15.75" customHeight="1" x14ac:dyDescent="0.2">
      <c r="A334" s="11" t="s">
        <v>18</v>
      </c>
      <c r="B334" s="6">
        <v>44769</v>
      </c>
      <c r="C334" s="5">
        <v>2022</v>
      </c>
      <c r="D334" s="11">
        <v>100</v>
      </c>
      <c r="E334" s="11">
        <v>29</v>
      </c>
      <c r="F334" s="11">
        <v>1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Q334" s="8"/>
    </row>
    <row r="335" spans="1:17" ht="15.75" customHeight="1" x14ac:dyDescent="0.2">
      <c r="A335" s="11" t="s">
        <v>18</v>
      </c>
      <c r="B335" s="6">
        <v>44783</v>
      </c>
      <c r="C335" s="5">
        <v>2022</v>
      </c>
      <c r="D335" s="11">
        <v>100</v>
      </c>
      <c r="E335" s="11">
        <v>6</v>
      </c>
      <c r="F335" s="11">
        <v>0</v>
      </c>
      <c r="G335" s="11">
        <v>0</v>
      </c>
      <c r="H335" s="11">
        <v>0</v>
      </c>
      <c r="I335" s="11">
        <v>0</v>
      </c>
      <c r="J335" s="11">
        <v>0</v>
      </c>
      <c r="K335" s="11">
        <v>0</v>
      </c>
      <c r="Q335" s="8"/>
    </row>
    <row r="336" spans="1:17" ht="15.75" customHeight="1" x14ac:dyDescent="0.2">
      <c r="A336" s="11" t="s">
        <v>18</v>
      </c>
      <c r="B336" s="6">
        <v>44790</v>
      </c>
      <c r="C336" s="5">
        <v>2022</v>
      </c>
      <c r="D336" s="11">
        <v>100</v>
      </c>
      <c r="E336" s="11">
        <v>17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Q336" s="8"/>
    </row>
    <row r="337" spans="1:17" ht="15.75" customHeight="1" x14ac:dyDescent="0.2">
      <c r="A337" s="11" t="s">
        <v>18</v>
      </c>
      <c r="B337" s="6">
        <v>44791</v>
      </c>
      <c r="C337" s="5">
        <v>2022</v>
      </c>
      <c r="D337" s="11">
        <v>102</v>
      </c>
      <c r="E337" s="11">
        <v>17</v>
      </c>
      <c r="F337" s="11">
        <v>1</v>
      </c>
      <c r="G337" s="11">
        <v>0</v>
      </c>
      <c r="H337" s="11">
        <v>0</v>
      </c>
      <c r="I337" s="11">
        <v>0</v>
      </c>
      <c r="J337" s="11">
        <v>0</v>
      </c>
      <c r="K337" s="11">
        <v>0</v>
      </c>
      <c r="Q337" s="8"/>
    </row>
    <row r="338" spans="1:17" ht="15.75" customHeight="1" x14ac:dyDescent="0.2">
      <c r="A338" s="11" t="s">
        <v>18</v>
      </c>
      <c r="B338" s="6">
        <v>44797</v>
      </c>
      <c r="C338" s="5">
        <v>2022</v>
      </c>
      <c r="D338" s="11">
        <v>106</v>
      </c>
      <c r="E338" s="11">
        <v>6</v>
      </c>
      <c r="F338" s="11">
        <v>0</v>
      </c>
      <c r="G338" s="11">
        <v>0</v>
      </c>
      <c r="H338" s="11">
        <v>0</v>
      </c>
      <c r="I338" s="11">
        <v>0</v>
      </c>
      <c r="J338" s="11">
        <v>0</v>
      </c>
      <c r="K338" s="11">
        <v>0</v>
      </c>
      <c r="Q338" s="8"/>
    </row>
    <row r="339" spans="1:17" ht="15.75" customHeight="1" x14ac:dyDescent="0.2">
      <c r="A339" s="11" t="s">
        <v>17</v>
      </c>
      <c r="B339" s="6">
        <v>45092</v>
      </c>
      <c r="C339" s="5">
        <v>2023</v>
      </c>
      <c r="D339" s="11">
        <v>106</v>
      </c>
      <c r="E339" s="11">
        <v>0</v>
      </c>
      <c r="F339" s="11">
        <v>0</v>
      </c>
      <c r="G339" s="11">
        <v>5</v>
      </c>
      <c r="H339" s="11">
        <v>0</v>
      </c>
      <c r="I339" s="11">
        <v>10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  <c r="Q339" s="8"/>
    </row>
    <row r="340" spans="1:17" ht="15.75" customHeight="1" x14ac:dyDescent="0.2">
      <c r="A340" s="11" t="s">
        <v>17</v>
      </c>
      <c r="B340" s="6">
        <v>45099</v>
      </c>
      <c r="C340" s="5">
        <v>2023</v>
      </c>
      <c r="D340" s="11">
        <v>149</v>
      </c>
      <c r="E340" s="11">
        <v>0</v>
      </c>
      <c r="F340" s="11">
        <v>0</v>
      </c>
      <c r="G340" s="11">
        <v>0</v>
      </c>
      <c r="H340" s="11">
        <v>1</v>
      </c>
      <c r="I340" s="11">
        <v>1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  <c r="Q340" s="8"/>
    </row>
    <row r="341" spans="1:17" ht="15.75" customHeight="1" x14ac:dyDescent="0.2">
      <c r="A341" s="11" t="s">
        <v>17</v>
      </c>
      <c r="B341" s="6">
        <v>45113</v>
      </c>
      <c r="C341" s="5">
        <v>2023</v>
      </c>
      <c r="D341" s="11">
        <v>102</v>
      </c>
      <c r="E341" s="11">
        <v>11</v>
      </c>
      <c r="F341" s="11">
        <v>0</v>
      </c>
      <c r="G341" s="11">
        <v>1</v>
      </c>
      <c r="H341" s="11">
        <v>0</v>
      </c>
      <c r="I341" s="11">
        <v>0</v>
      </c>
      <c r="J341" s="11">
        <v>0</v>
      </c>
      <c r="K341" s="11">
        <v>0</v>
      </c>
      <c r="L341" s="11">
        <v>1</v>
      </c>
      <c r="M341" s="11">
        <v>4</v>
      </c>
      <c r="N341" s="11">
        <v>0</v>
      </c>
      <c r="Q341" s="8"/>
    </row>
    <row r="342" spans="1:17" ht="15.75" customHeight="1" x14ac:dyDescent="0.2">
      <c r="A342" s="11" t="s">
        <v>17</v>
      </c>
      <c r="B342" s="6">
        <v>45120</v>
      </c>
      <c r="C342" s="5">
        <v>2023</v>
      </c>
      <c r="D342" s="11">
        <v>121</v>
      </c>
      <c r="E342" s="11">
        <v>18</v>
      </c>
      <c r="F342" s="11">
        <v>1</v>
      </c>
      <c r="G342" s="11">
        <v>0</v>
      </c>
      <c r="H342" s="11">
        <v>1</v>
      </c>
      <c r="I342" s="11">
        <v>0</v>
      </c>
      <c r="J342" s="11">
        <v>0</v>
      </c>
      <c r="K342" s="11">
        <v>0</v>
      </c>
      <c r="L342" s="11">
        <v>0</v>
      </c>
      <c r="M342" s="11">
        <v>4</v>
      </c>
      <c r="N342" s="11">
        <v>0</v>
      </c>
      <c r="Q342" s="8"/>
    </row>
    <row r="343" spans="1:17" ht="15.75" customHeight="1" x14ac:dyDescent="0.2">
      <c r="A343" s="11" t="s">
        <v>17</v>
      </c>
      <c r="B343" s="6">
        <v>45127</v>
      </c>
      <c r="C343" s="5">
        <v>2023</v>
      </c>
      <c r="D343" s="11">
        <v>130</v>
      </c>
      <c r="E343" s="11">
        <v>15</v>
      </c>
      <c r="F343" s="11">
        <v>0</v>
      </c>
      <c r="G343" s="11">
        <v>0</v>
      </c>
      <c r="H343" s="11">
        <v>0</v>
      </c>
      <c r="I343" s="11">
        <v>1</v>
      </c>
      <c r="J343" s="11">
        <v>0</v>
      </c>
      <c r="K343" s="11">
        <v>0</v>
      </c>
      <c r="L343" s="11">
        <v>0</v>
      </c>
      <c r="M343" s="11">
        <v>1</v>
      </c>
      <c r="N343" s="11">
        <v>0</v>
      </c>
      <c r="Q343" s="8"/>
    </row>
    <row r="344" spans="1:17" ht="15.75" customHeight="1" x14ac:dyDescent="0.2">
      <c r="A344" s="11" t="s">
        <v>17</v>
      </c>
      <c r="B344" s="6">
        <v>45134</v>
      </c>
      <c r="C344" s="5">
        <v>2023</v>
      </c>
      <c r="D344" s="11">
        <v>128</v>
      </c>
      <c r="E344" s="11">
        <v>19</v>
      </c>
      <c r="F344" s="11">
        <v>0</v>
      </c>
      <c r="G344" s="11">
        <v>0</v>
      </c>
      <c r="H344" s="11">
        <v>0</v>
      </c>
      <c r="I344" s="11">
        <v>0</v>
      </c>
      <c r="J344" s="11">
        <v>0</v>
      </c>
      <c r="K344" s="11">
        <v>0</v>
      </c>
      <c r="L344" s="11">
        <v>1</v>
      </c>
      <c r="M344" s="11">
        <v>1</v>
      </c>
      <c r="N344" s="11">
        <v>0</v>
      </c>
      <c r="Q344" s="8"/>
    </row>
    <row r="345" spans="1:17" ht="15.75" customHeight="1" x14ac:dyDescent="0.2">
      <c r="A345" s="11" t="s">
        <v>17</v>
      </c>
      <c r="B345" s="6">
        <v>45141</v>
      </c>
      <c r="C345" s="5">
        <v>2023</v>
      </c>
      <c r="D345" s="11">
        <v>109</v>
      </c>
      <c r="E345" s="11">
        <v>9</v>
      </c>
      <c r="F345" s="11">
        <v>0</v>
      </c>
      <c r="G345" s="11">
        <v>0</v>
      </c>
      <c r="H345" s="11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1</v>
      </c>
      <c r="N345" s="11">
        <v>0</v>
      </c>
      <c r="Q345" s="8"/>
    </row>
    <row r="346" spans="1:17" ht="15.75" customHeight="1" x14ac:dyDescent="0.2">
      <c r="A346" s="11" t="s">
        <v>17</v>
      </c>
      <c r="B346" s="6">
        <v>45148</v>
      </c>
      <c r="C346" s="5">
        <v>2023</v>
      </c>
      <c r="D346" s="11">
        <v>101</v>
      </c>
      <c r="E346" s="11">
        <v>6</v>
      </c>
      <c r="F346" s="11">
        <v>0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1</v>
      </c>
      <c r="M346" s="11">
        <v>1</v>
      </c>
      <c r="N346" s="11">
        <v>0</v>
      </c>
      <c r="Q346" s="8"/>
    </row>
    <row r="347" spans="1:17" ht="15.75" customHeight="1" x14ac:dyDescent="0.2">
      <c r="A347" s="11" t="s">
        <v>17</v>
      </c>
      <c r="B347" s="6">
        <v>45155</v>
      </c>
      <c r="C347" s="5">
        <v>2023</v>
      </c>
      <c r="D347" s="11">
        <v>109</v>
      </c>
      <c r="E347" s="11">
        <v>4</v>
      </c>
      <c r="F347" s="11">
        <v>1</v>
      </c>
      <c r="G347" s="11">
        <v>0</v>
      </c>
      <c r="H347" s="11">
        <v>0</v>
      </c>
      <c r="I347" s="11">
        <v>0</v>
      </c>
      <c r="J347" s="11">
        <v>0</v>
      </c>
      <c r="K347" s="11">
        <v>0</v>
      </c>
      <c r="L347" s="11">
        <v>1</v>
      </c>
      <c r="M347" s="11">
        <v>0</v>
      </c>
      <c r="N347" s="11">
        <v>2</v>
      </c>
      <c r="Q347" s="8"/>
    </row>
    <row r="348" spans="1:17" ht="15.75" customHeight="1" x14ac:dyDescent="0.2">
      <c r="A348" s="11" t="s">
        <v>19</v>
      </c>
      <c r="B348" s="6">
        <v>45097</v>
      </c>
      <c r="C348" s="5">
        <v>2023</v>
      </c>
      <c r="D348" s="11">
        <v>121</v>
      </c>
      <c r="E348" s="11">
        <v>5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Q348" s="8"/>
    </row>
    <row r="349" spans="1:17" ht="15.75" customHeight="1" x14ac:dyDescent="0.2">
      <c r="A349" s="11" t="s">
        <v>19</v>
      </c>
      <c r="B349" s="6">
        <v>45111</v>
      </c>
      <c r="C349" s="5">
        <v>2023</v>
      </c>
      <c r="D349" s="11">
        <v>102</v>
      </c>
      <c r="E349" s="11">
        <v>18</v>
      </c>
      <c r="F349" s="11">
        <v>0</v>
      </c>
      <c r="G349" s="11">
        <v>0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Q349" s="8"/>
    </row>
    <row r="350" spans="1:17" ht="15.75" customHeight="1" x14ac:dyDescent="0.2">
      <c r="A350" s="11" t="s">
        <v>19</v>
      </c>
      <c r="B350" s="6">
        <v>45118</v>
      </c>
      <c r="C350" s="5">
        <v>2023</v>
      </c>
      <c r="D350" s="11">
        <v>102</v>
      </c>
      <c r="E350" s="11">
        <v>30</v>
      </c>
      <c r="F350" s="11">
        <v>3</v>
      </c>
      <c r="G350" s="11">
        <v>1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Q350" s="8"/>
    </row>
    <row r="351" spans="1:17" ht="15.75" customHeight="1" x14ac:dyDescent="0.2">
      <c r="A351" s="11" t="s">
        <v>19</v>
      </c>
      <c r="B351" s="6">
        <v>45125</v>
      </c>
      <c r="C351" s="5">
        <v>2023</v>
      </c>
      <c r="D351" s="11">
        <v>105</v>
      </c>
      <c r="E351" s="11">
        <v>78</v>
      </c>
      <c r="F351" s="11">
        <v>5</v>
      </c>
      <c r="G351" s="11">
        <v>1</v>
      </c>
      <c r="H351" s="11">
        <v>0</v>
      </c>
      <c r="I351" s="11">
        <v>0</v>
      </c>
      <c r="J351" s="11">
        <v>0</v>
      </c>
      <c r="K351" s="11">
        <v>0</v>
      </c>
      <c r="L351" s="11">
        <v>0</v>
      </c>
      <c r="M351" s="11">
        <v>0</v>
      </c>
      <c r="N351" s="11">
        <v>0</v>
      </c>
      <c r="Q351" s="8"/>
    </row>
    <row r="352" spans="1:17" ht="15.75" customHeight="1" x14ac:dyDescent="0.2">
      <c r="A352" s="11" t="s">
        <v>19</v>
      </c>
      <c r="B352" s="6">
        <v>45132</v>
      </c>
      <c r="C352" s="5">
        <v>2023</v>
      </c>
      <c r="D352" s="11">
        <v>117</v>
      </c>
      <c r="E352" s="11">
        <v>33</v>
      </c>
      <c r="F352" s="11">
        <v>3</v>
      </c>
      <c r="G352" s="11">
        <v>1</v>
      </c>
      <c r="H352" s="11">
        <v>0</v>
      </c>
      <c r="I352" s="11">
        <v>0</v>
      </c>
      <c r="J352" s="11">
        <v>0</v>
      </c>
      <c r="K352" s="11">
        <v>0</v>
      </c>
      <c r="L352" s="11">
        <v>4</v>
      </c>
      <c r="M352" s="11">
        <v>0</v>
      </c>
      <c r="N352" s="11">
        <v>0</v>
      </c>
      <c r="Q352" s="8"/>
    </row>
    <row r="353" spans="1:17" ht="15.75" customHeight="1" x14ac:dyDescent="0.2">
      <c r="A353" s="11" t="s">
        <v>19</v>
      </c>
      <c r="B353" s="6">
        <v>45139</v>
      </c>
      <c r="C353" s="5">
        <v>2023</v>
      </c>
      <c r="D353" s="11">
        <v>138</v>
      </c>
      <c r="E353" s="11">
        <v>26</v>
      </c>
      <c r="F353" s="11">
        <v>1</v>
      </c>
      <c r="G353" s="11">
        <v>0</v>
      </c>
      <c r="H353" s="11">
        <v>0</v>
      </c>
      <c r="I353" s="11">
        <v>0</v>
      </c>
      <c r="J353" s="11">
        <v>0</v>
      </c>
      <c r="K353" s="11">
        <v>0</v>
      </c>
      <c r="L353" s="11">
        <v>3</v>
      </c>
      <c r="M353" s="11">
        <v>2</v>
      </c>
      <c r="N353" s="11">
        <v>0</v>
      </c>
      <c r="Q353" s="8"/>
    </row>
    <row r="354" spans="1:17" ht="15.75" customHeight="1" x14ac:dyDescent="0.2">
      <c r="A354" s="11" t="s">
        <v>19</v>
      </c>
      <c r="B354" s="6">
        <v>45146</v>
      </c>
      <c r="C354" s="5">
        <v>2023</v>
      </c>
      <c r="D354" s="11">
        <v>105</v>
      </c>
      <c r="E354" s="11">
        <v>12</v>
      </c>
      <c r="F354" s="11">
        <v>1</v>
      </c>
      <c r="G354" s="11">
        <v>0</v>
      </c>
      <c r="H354" s="11">
        <v>0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  <c r="Q354" s="8"/>
    </row>
    <row r="355" spans="1:17" ht="15.75" customHeight="1" x14ac:dyDescent="0.2">
      <c r="A355" s="11" t="s">
        <v>19</v>
      </c>
      <c r="B355" s="6">
        <v>45153</v>
      </c>
      <c r="C355" s="5">
        <v>2023</v>
      </c>
      <c r="D355" s="11">
        <v>104</v>
      </c>
      <c r="E355" s="11">
        <v>11</v>
      </c>
      <c r="F355" s="11">
        <v>0</v>
      </c>
      <c r="G355" s="11">
        <v>0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1</v>
      </c>
      <c r="N355" s="11">
        <v>0</v>
      </c>
      <c r="Q355" s="8"/>
    </row>
    <row r="356" spans="1:17" ht="15.75" customHeight="1" x14ac:dyDescent="0.2">
      <c r="A356" s="11" t="s">
        <v>19</v>
      </c>
      <c r="B356" s="6">
        <v>45160</v>
      </c>
      <c r="C356" s="5">
        <v>2023</v>
      </c>
      <c r="D356" s="11">
        <v>111</v>
      </c>
      <c r="E356" s="11">
        <v>1</v>
      </c>
      <c r="F356" s="11">
        <v>0</v>
      </c>
      <c r="G356" s="11">
        <v>1</v>
      </c>
      <c r="H356" s="11">
        <v>0</v>
      </c>
      <c r="I356" s="11">
        <v>0</v>
      </c>
      <c r="J356" s="11">
        <v>0</v>
      </c>
      <c r="K356" s="11">
        <v>0</v>
      </c>
      <c r="L356" s="11">
        <v>0</v>
      </c>
      <c r="M356" s="11">
        <v>1</v>
      </c>
      <c r="N356" s="11">
        <v>0</v>
      </c>
      <c r="Q356" s="8"/>
    </row>
    <row r="357" spans="1:17" ht="15.75" customHeight="1" x14ac:dyDescent="0.2">
      <c r="A357" s="11" t="s">
        <v>18</v>
      </c>
      <c r="B357" s="6">
        <v>45091</v>
      </c>
      <c r="C357" s="5">
        <v>2023</v>
      </c>
      <c r="D357" s="11">
        <v>127</v>
      </c>
      <c r="E357" s="11">
        <v>0</v>
      </c>
      <c r="F357" s="11">
        <v>2</v>
      </c>
      <c r="G357" s="11">
        <v>1</v>
      </c>
      <c r="H357" s="11">
        <v>3</v>
      </c>
      <c r="I357" s="11">
        <v>4</v>
      </c>
      <c r="J357" s="11">
        <v>1</v>
      </c>
      <c r="K357" s="11">
        <v>0</v>
      </c>
      <c r="L357" s="11">
        <v>0</v>
      </c>
      <c r="M357" s="11">
        <v>0</v>
      </c>
      <c r="N357" s="11">
        <v>0</v>
      </c>
      <c r="Q357" s="8"/>
    </row>
    <row r="358" spans="1:17" ht="15.75" customHeight="1" x14ac:dyDescent="0.2">
      <c r="A358" s="11" t="s">
        <v>18</v>
      </c>
      <c r="B358" s="6">
        <v>45098</v>
      </c>
      <c r="C358" s="5">
        <v>2023</v>
      </c>
      <c r="D358" s="11">
        <v>108</v>
      </c>
      <c r="E358" s="11">
        <v>0</v>
      </c>
      <c r="F358" s="11">
        <v>0</v>
      </c>
      <c r="G358" s="11">
        <v>0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Q358" s="8"/>
    </row>
    <row r="359" spans="1:17" ht="15.75" customHeight="1" x14ac:dyDescent="0.2">
      <c r="A359" s="11" t="s">
        <v>18</v>
      </c>
      <c r="B359" s="6">
        <v>45119</v>
      </c>
      <c r="C359" s="5">
        <v>2023</v>
      </c>
      <c r="D359" s="11">
        <v>105</v>
      </c>
      <c r="E359" s="11">
        <v>30</v>
      </c>
      <c r="F359" s="11">
        <v>0</v>
      </c>
      <c r="G359" s="11">
        <v>3</v>
      </c>
      <c r="H359" s="11">
        <v>0</v>
      </c>
      <c r="I359" s="11">
        <v>0</v>
      </c>
      <c r="J359" s="11">
        <v>0</v>
      </c>
      <c r="K359" s="11">
        <v>0</v>
      </c>
      <c r="L359" s="11">
        <v>0</v>
      </c>
      <c r="M359" s="11">
        <v>1</v>
      </c>
      <c r="N359" s="11">
        <v>0</v>
      </c>
      <c r="Q359" s="8"/>
    </row>
    <row r="360" spans="1:17" ht="15.75" customHeight="1" x14ac:dyDescent="0.2">
      <c r="A360" s="11" t="s">
        <v>18</v>
      </c>
      <c r="B360" s="6">
        <v>45126</v>
      </c>
      <c r="C360" s="5">
        <v>2023</v>
      </c>
      <c r="D360" s="11">
        <v>104</v>
      </c>
      <c r="E360" s="11">
        <v>56</v>
      </c>
      <c r="F360" s="11">
        <v>0</v>
      </c>
      <c r="G360" s="11">
        <v>1</v>
      </c>
      <c r="H360" s="11">
        <v>0</v>
      </c>
      <c r="I360" s="11">
        <v>0</v>
      </c>
      <c r="J360" s="11">
        <v>0</v>
      </c>
      <c r="K360" s="11">
        <v>0</v>
      </c>
      <c r="L360" s="11">
        <v>2</v>
      </c>
      <c r="M360" s="11">
        <v>2</v>
      </c>
      <c r="N360" s="11">
        <v>0</v>
      </c>
      <c r="Q360" s="8"/>
    </row>
    <row r="361" spans="1:17" ht="15.75" customHeight="1" x14ac:dyDescent="0.2">
      <c r="A361" s="11" t="s">
        <v>18</v>
      </c>
      <c r="B361" s="6">
        <v>45133</v>
      </c>
      <c r="C361" s="5">
        <v>2023</v>
      </c>
      <c r="D361" s="11">
        <v>28</v>
      </c>
      <c r="E361" s="11">
        <v>16</v>
      </c>
      <c r="F361" s="11">
        <v>0</v>
      </c>
      <c r="G361" s="11">
        <v>0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1</v>
      </c>
      <c r="N361" s="11">
        <v>0</v>
      </c>
      <c r="Q361" s="8"/>
    </row>
    <row r="362" spans="1:17" ht="15.75" customHeight="1" x14ac:dyDescent="0.2">
      <c r="A362" s="11" t="s">
        <v>18</v>
      </c>
      <c r="B362" s="6">
        <v>45140</v>
      </c>
      <c r="C362" s="5">
        <v>2023</v>
      </c>
      <c r="D362" s="11">
        <v>109</v>
      </c>
      <c r="E362" s="11">
        <v>16</v>
      </c>
      <c r="F362" s="11">
        <v>0</v>
      </c>
      <c r="G362" s="11">
        <v>0</v>
      </c>
      <c r="H362" s="11">
        <v>0</v>
      </c>
      <c r="I362" s="11">
        <v>0</v>
      </c>
      <c r="J362" s="11">
        <v>0</v>
      </c>
      <c r="K362" s="11">
        <v>0</v>
      </c>
      <c r="L362" s="11">
        <v>0</v>
      </c>
      <c r="M362" s="11">
        <v>0</v>
      </c>
      <c r="N362" s="11">
        <v>0</v>
      </c>
      <c r="Q362" s="8"/>
    </row>
    <row r="363" spans="1:17" ht="15.75" customHeight="1" x14ac:dyDescent="0.2">
      <c r="A363" s="11" t="s">
        <v>18</v>
      </c>
      <c r="B363" s="6">
        <v>45147</v>
      </c>
      <c r="C363" s="5">
        <v>2023</v>
      </c>
      <c r="D363" s="11">
        <v>107</v>
      </c>
      <c r="E363" s="11">
        <v>14</v>
      </c>
      <c r="F363" s="11">
        <v>2</v>
      </c>
      <c r="G363" s="11">
        <v>0</v>
      </c>
      <c r="H363" s="11">
        <v>0</v>
      </c>
      <c r="I363" s="11">
        <v>0</v>
      </c>
      <c r="J363" s="11">
        <v>0</v>
      </c>
      <c r="K363" s="11">
        <v>0</v>
      </c>
      <c r="L363" s="11">
        <v>2</v>
      </c>
      <c r="M363" s="11">
        <v>0</v>
      </c>
      <c r="N363" s="11">
        <v>0</v>
      </c>
      <c r="Q363" s="8"/>
    </row>
    <row r="364" spans="1:17" ht="15.75" customHeight="1" x14ac:dyDescent="0.2">
      <c r="A364" s="11" t="s">
        <v>18</v>
      </c>
      <c r="B364" s="6">
        <v>45154</v>
      </c>
      <c r="C364" s="5">
        <v>2023</v>
      </c>
      <c r="D364" s="11">
        <v>102</v>
      </c>
      <c r="E364" s="11">
        <v>0</v>
      </c>
      <c r="F364" s="11">
        <v>1</v>
      </c>
      <c r="G364" s="11">
        <v>0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Q364" s="8"/>
    </row>
    <row r="365" spans="1:17" ht="15.75" customHeight="1" x14ac:dyDescent="0.2">
      <c r="B365" s="6"/>
      <c r="C365" s="5"/>
      <c r="Q365" s="8"/>
    </row>
    <row r="366" spans="1:17" ht="15.75" customHeight="1" x14ac:dyDescent="0.2">
      <c r="B366" s="6"/>
      <c r="C366" s="5"/>
      <c r="Q366" s="8"/>
    </row>
    <row r="367" spans="1:17" ht="15.75" customHeight="1" x14ac:dyDescent="0.2">
      <c r="B367" s="6"/>
      <c r="C367" s="5"/>
      <c r="Q367" s="8"/>
    </row>
    <row r="368" spans="1:17" ht="15.75" customHeight="1" x14ac:dyDescent="0.2">
      <c r="B368" s="6"/>
      <c r="C368" s="5"/>
      <c r="Q368" s="8"/>
    </row>
    <row r="369" spans="2:17" ht="15.75" customHeight="1" x14ac:dyDescent="0.2">
      <c r="B369" s="6"/>
      <c r="C369" s="5"/>
      <c r="Q369" s="8"/>
    </row>
    <row r="370" spans="2:17" ht="15.75" customHeight="1" x14ac:dyDescent="0.2">
      <c r="B370" s="6"/>
      <c r="C370" s="5"/>
      <c r="Q370" s="8"/>
    </row>
    <row r="371" spans="2:17" ht="15.75" customHeight="1" x14ac:dyDescent="0.2">
      <c r="B371" s="6"/>
      <c r="C371" s="5"/>
      <c r="Q371" s="8"/>
    </row>
    <row r="372" spans="2:17" ht="15.75" customHeight="1" x14ac:dyDescent="0.2">
      <c r="B372" s="6"/>
      <c r="C372" s="5"/>
      <c r="Q372" s="8"/>
    </row>
    <row r="373" spans="2:17" ht="15.75" customHeight="1" x14ac:dyDescent="0.2">
      <c r="B373" s="6"/>
      <c r="C373" s="5"/>
      <c r="Q373" s="8"/>
    </row>
    <row r="374" spans="2:17" ht="15.75" customHeight="1" x14ac:dyDescent="0.2">
      <c r="B374" s="6"/>
      <c r="C374" s="5"/>
      <c r="Q374" s="8"/>
    </row>
    <row r="375" spans="2:17" ht="15.75" customHeight="1" x14ac:dyDescent="0.2">
      <c r="B375" s="6"/>
      <c r="C375" s="5"/>
      <c r="Q375" s="8"/>
    </row>
    <row r="376" spans="2:17" ht="15.75" customHeight="1" x14ac:dyDescent="0.2">
      <c r="B376" s="6"/>
      <c r="C376" s="5"/>
      <c r="Q376" s="8"/>
    </row>
    <row r="377" spans="2:17" ht="15.75" customHeight="1" x14ac:dyDescent="0.2">
      <c r="B377" s="6"/>
      <c r="C377" s="5"/>
      <c r="Q377" s="8"/>
    </row>
    <row r="378" spans="2:17" ht="15.75" customHeight="1" x14ac:dyDescent="0.2">
      <c r="B378" s="6"/>
      <c r="C378" s="5"/>
      <c r="Q378" s="8"/>
    </row>
    <row r="379" spans="2:17" ht="15.75" customHeight="1" x14ac:dyDescent="0.2">
      <c r="B379" s="6"/>
      <c r="C379" s="5"/>
      <c r="Q379" s="8"/>
    </row>
    <row r="380" spans="2:17" ht="15.75" customHeight="1" x14ac:dyDescent="0.2">
      <c r="B380" s="6"/>
      <c r="C380" s="5"/>
      <c r="Q380" s="8"/>
    </row>
    <row r="381" spans="2:17" ht="15.75" customHeight="1" x14ac:dyDescent="0.2">
      <c r="B381" s="6"/>
      <c r="C381" s="5"/>
      <c r="Q381" s="8"/>
    </row>
    <row r="382" spans="2:17" ht="15.75" customHeight="1" x14ac:dyDescent="0.2">
      <c r="B382" s="6"/>
      <c r="C382" s="5"/>
      <c r="Q382" s="8"/>
    </row>
    <row r="383" spans="2:17" ht="15.75" customHeight="1" x14ac:dyDescent="0.2">
      <c r="B383" s="6"/>
      <c r="C383" s="5"/>
      <c r="Q383" s="8"/>
    </row>
    <row r="384" spans="2:17" ht="15.75" customHeight="1" x14ac:dyDescent="0.2">
      <c r="B384" s="6"/>
      <c r="C384" s="5"/>
      <c r="Q384" s="8"/>
    </row>
    <row r="385" spans="2:17" ht="15.75" customHeight="1" x14ac:dyDescent="0.2">
      <c r="B385" s="6"/>
      <c r="C385" s="5"/>
      <c r="Q385" s="8"/>
    </row>
    <row r="386" spans="2:17" ht="15.75" customHeight="1" x14ac:dyDescent="0.2">
      <c r="B386" s="6"/>
      <c r="C386" s="5"/>
      <c r="Q386" s="8"/>
    </row>
    <row r="387" spans="2:17" ht="15.75" customHeight="1" x14ac:dyDescent="0.2">
      <c r="B387" s="6"/>
      <c r="C387" s="5"/>
      <c r="Q387" s="8"/>
    </row>
    <row r="388" spans="2:17" ht="15.75" customHeight="1" x14ac:dyDescent="0.2">
      <c r="B388" s="6"/>
      <c r="C388" s="5"/>
      <c r="Q388" s="8"/>
    </row>
    <row r="389" spans="2:17" ht="15.75" customHeight="1" x14ac:dyDescent="0.2">
      <c r="B389" s="6"/>
      <c r="C389" s="5"/>
      <c r="Q389" s="8"/>
    </row>
    <row r="390" spans="2:17" ht="15.75" customHeight="1" x14ac:dyDescent="0.2">
      <c r="B390" s="6"/>
      <c r="C390" s="5"/>
      <c r="Q390" s="8"/>
    </row>
    <row r="391" spans="2:17" ht="15.75" customHeight="1" x14ac:dyDescent="0.2">
      <c r="B391" s="6"/>
      <c r="C391" s="5"/>
      <c r="Q391" s="8"/>
    </row>
    <row r="392" spans="2:17" ht="15.75" customHeight="1" x14ac:dyDescent="0.2">
      <c r="B392" s="6"/>
      <c r="C392" s="5"/>
      <c r="Q392" s="8"/>
    </row>
    <row r="393" spans="2:17" ht="15.75" customHeight="1" x14ac:dyDescent="0.2">
      <c r="B393" s="6"/>
      <c r="C393" s="5"/>
      <c r="Q393" s="8"/>
    </row>
    <row r="394" spans="2:17" ht="15.75" customHeight="1" x14ac:dyDescent="0.2">
      <c r="B394" s="6"/>
      <c r="C394" s="5"/>
      <c r="Q394" s="8"/>
    </row>
    <row r="395" spans="2:17" ht="15.75" customHeight="1" x14ac:dyDescent="0.2">
      <c r="B395" s="6"/>
      <c r="C395" s="5"/>
      <c r="Q395" s="8"/>
    </row>
    <row r="396" spans="2:17" ht="15.75" customHeight="1" x14ac:dyDescent="0.2">
      <c r="B396" s="6"/>
      <c r="C396" s="5"/>
      <c r="Q396" s="8"/>
    </row>
    <row r="397" spans="2:17" ht="15.75" customHeight="1" x14ac:dyDescent="0.2">
      <c r="B397" s="6"/>
      <c r="C397" s="5"/>
      <c r="Q397" s="8"/>
    </row>
    <row r="398" spans="2:17" ht="15.75" customHeight="1" x14ac:dyDescent="0.2">
      <c r="B398" s="6"/>
      <c r="C398" s="5"/>
      <c r="Q398" s="8"/>
    </row>
    <row r="399" spans="2:17" ht="15.75" customHeight="1" x14ac:dyDescent="0.2">
      <c r="B399" s="6"/>
      <c r="C399" s="5"/>
      <c r="Q399" s="8"/>
    </row>
    <row r="400" spans="2:17" ht="15.75" customHeight="1" x14ac:dyDescent="0.2">
      <c r="B400" s="6"/>
      <c r="C400" s="5"/>
      <c r="Q400" s="8"/>
    </row>
    <row r="401" spans="2:17" ht="15.75" customHeight="1" x14ac:dyDescent="0.2">
      <c r="B401" s="6"/>
      <c r="C401" s="5"/>
      <c r="Q401" s="8"/>
    </row>
    <row r="402" spans="2:17" ht="15.75" customHeight="1" x14ac:dyDescent="0.2">
      <c r="B402" s="6"/>
      <c r="C402" s="5"/>
      <c r="Q402" s="8"/>
    </row>
    <row r="403" spans="2:17" ht="15.75" customHeight="1" x14ac:dyDescent="0.2">
      <c r="B403" s="6"/>
      <c r="C403" s="5"/>
      <c r="Q403" s="8"/>
    </row>
    <row r="404" spans="2:17" ht="15.75" customHeight="1" x14ac:dyDescent="0.2">
      <c r="B404" s="6"/>
      <c r="C404" s="5"/>
      <c r="Q404" s="8"/>
    </row>
    <row r="405" spans="2:17" ht="15.75" customHeight="1" x14ac:dyDescent="0.2">
      <c r="B405" s="6"/>
      <c r="C405" s="5"/>
      <c r="Q405" s="8"/>
    </row>
    <row r="406" spans="2:17" ht="15.75" customHeight="1" x14ac:dyDescent="0.2">
      <c r="B406" s="6"/>
      <c r="C406" s="5"/>
      <c r="Q406" s="8"/>
    </row>
    <row r="407" spans="2:17" ht="15.75" customHeight="1" x14ac:dyDescent="0.2">
      <c r="B407" s="6"/>
      <c r="C407" s="5"/>
      <c r="Q407" s="8"/>
    </row>
    <row r="408" spans="2:17" ht="15.75" customHeight="1" x14ac:dyDescent="0.2">
      <c r="B408" s="6"/>
      <c r="C408" s="5"/>
      <c r="Q408" s="8"/>
    </row>
    <row r="409" spans="2:17" ht="15.75" customHeight="1" x14ac:dyDescent="0.2">
      <c r="B409" s="6"/>
      <c r="C409" s="5"/>
      <c r="Q409" s="8"/>
    </row>
    <row r="410" spans="2:17" ht="15.75" customHeight="1" x14ac:dyDescent="0.2">
      <c r="B410" s="6"/>
      <c r="C410" s="5"/>
      <c r="Q410" s="8"/>
    </row>
    <row r="411" spans="2:17" ht="15.75" customHeight="1" x14ac:dyDescent="0.2">
      <c r="B411" s="6"/>
      <c r="C411" s="5"/>
      <c r="Q411" s="8"/>
    </row>
    <row r="412" spans="2:17" ht="15.75" customHeight="1" x14ac:dyDescent="0.2">
      <c r="B412" s="6"/>
      <c r="C412" s="5"/>
      <c r="Q412" s="8"/>
    </row>
    <row r="413" spans="2:17" ht="15.75" customHeight="1" x14ac:dyDescent="0.2">
      <c r="B413" s="6"/>
      <c r="C413" s="5"/>
      <c r="Q413" s="8"/>
    </row>
    <row r="414" spans="2:17" ht="15.75" customHeight="1" x14ac:dyDescent="0.2">
      <c r="B414" s="6"/>
      <c r="C414" s="5"/>
      <c r="Q414" s="8"/>
    </row>
    <row r="415" spans="2:17" ht="15.75" customHeight="1" x14ac:dyDescent="0.2">
      <c r="B415" s="6"/>
      <c r="C415" s="5"/>
      <c r="Q415" s="8"/>
    </row>
    <row r="416" spans="2:17" ht="15.75" customHeight="1" x14ac:dyDescent="0.2">
      <c r="B416" s="6"/>
      <c r="C416" s="5"/>
      <c r="Q416" s="8"/>
    </row>
    <row r="417" spans="2:17" ht="15.75" customHeight="1" x14ac:dyDescent="0.2">
      <c r="B417" s="6"/>
      <c r="C417" s="5"/>
      <c r="Q417" s="8"/>
    </row>
    <row r="418" spans="2:17" ht="15.75" customHeight="1" x14ac:dyDescent="0.2">
      <c r="B418" s="6"/>
      <c r="C418" s="5"/>
      <c r="Q418" s="8"/>
    </row>
    <row r="419" spans="2:17" ht="15.75" customHeight="1" x14ac:dyDescent="0.2">
      <c r="B419" s="6"/>
      <c r="C419" s="5"/>
      <c r="Q419" s="8"/>
    </row>
    <row r="420" spans="2:17" ht="15.75" customHeight="1" x14ac:dyDescent="0.2">
      <c r="B420" s="6"/>
      <c r="C420" s="5"/>
      <c r="Q420" s="8"/>
    </row>
    <row r="421" spans="2:17" ht="15.75" customHeight="1" x14ac:dyDescent="0.2">
      <c r="B421" s="6"/>
      <c r="C421" s="5"/>
      <c r="Q421" s="8"/>
    </row>
    <row r="422" spans="2:17" ht="15.75" customHeight="1" x14ac:dyDescent="0.2">
      <c r="B422" s="6"/>
      <c r="C422" s="5"/>
      <c r="Q422" s="8"/>
    </row>
    <row r="423" spans="2:17" ht="15.75" customHeight="1" x14ac:dyDescent="0.2">
      <c r="B423" s="6"/>
      <c r="C423" s="5"/>
      <c r="Q423" s="8"/>
    </row>
    <row r="424" spans="2:17" ht="15.75" customHeight="1" x14ac:dyDescent="0.2">
      <c r="B424" s="6"/>
      <c r="C424" s="5"/>
      <c r="Q424" s="8"/>
    </row>
    <row r="425" spans="2:17" ht="15.75" customHeight="1" x14ac:dyDescent="0.2">
      <c r="B425" s="6"/>
      <c r="C425" s="5"/>
      <c r="Q425" s="8"/>
    </row>
    <row r="426" spans="2:17" ht="15.75" customHeight="1" x14ac:dyDescent="0.2">
      <c r="B426" s="6"/>
      <c r="C426" s="5"/>
      <c r="Q426" s="8"/>
    </row>
    <row r="427" spans="2:17" ht="15.75" customHeight="1" x14ac:dyDescent="0.2">
      <c r="B427" s="6"/>
      <c r="C427" s="5"/>
      <c r="Q427" s="8"/>
    </row>
    <row r="428" spans="2:17" ht="15.75" customHeight="1" x14ac:dyDescent="0.2">
      <c r="B428" s="6"/>
      <c r="C428" s="5"/>
      <c r="Q428" s="8"/>
    </row>
    <row r="429" spans="2:17" ht="15.75" customHeight="1" x14ac:dyDescent="0.2">
      <c r="B429" s="6"/>
      <c r="C429" s="5"/>
      <c r="Q429" s="8"/>
    </row>
    <row r="430" spans="2:17" ht="15.75" customHeight="1" x14ac:dyDescent="0.2">
      <c r="B430" s="6"/>
      <c r="C430" s="5"/>
      <c r="Q430" s="8"/>
    </row>
    <row r="431" spans="2:17" ht="15.75" customHeight="1" x14ac:dyDescent="0.2">
      <c r="B431" s="6"/>
      <c r="C431" s="5"/>
      <c r="Q431" s="8"/>
    </row>
    <row r="432" spans="2:17" ht="15.75" customHeight="1" x14ac:dyDescent="0.2">
      <c r="B432" s="6"/>
      <c r="C432" s="5"/>
      <c r="Q432" s="8"/>
    </row>
    <row r="433" spans="2:17" ht="15.75" customHeight="1" x14ac:dyDescent="0.2">
      <c r="B433" s="6"/>
      <c r="C433" s="5"/>
      <c r="Q433" s="8"/>
    </row>
    <row r="434" spans="2:17" ht="15.75" customHeight="1" x14ac:dyDescent="0.2">
      <c r="B434" s="6"/>
      <c r="C434" s="5"/>
      <c r="Q434" s="8"/>
    </row>
    <row r="435" spans="2:17" ht="15.75" customHeight="1" x14ac:dyDescent="0.2">
      <c r="B435" s="6"/>
      <c r="C435" s="5"/>
      <c r="Q435" s="8"/>
    </row>
    <row r="436" spans="2:17" ht="15.75" customHeight="1" x14ac:dyDescent="0.2">
      <c r="B436" s="6"/>
      <c r="C436" s="5"/>
      <c r="Q436" s="8"/>
    </row>
    <row r="437" spans="2:17" ht="15.75" customHeight="1" x14ac:dyDescent="0.2">
      <c r="B437" s="6"/>
      <c r="C437" s="5"/>
      <c r="Q437" s="8"/>
    </row>
    <row r="438" spans="2:17" ht="15.75" customHeight="1" x14ac:dyDescent="0.2">
      <c r="B438" s="6"/>
      <c r="C438" s="5"/>
      <c r="Q438" s="8"/>
    </row>
    <row r="439" spans="2:17" ht="15.75" customHeight="1" x14ac:dyDescent="0.2">
      <c r="B439" s="6"/>
      <c r="C439" s="5"/>
      <c r="Q439" s="8"/>
    </row>
    <row r="440" spans="2:17" ht="15.75" customHeight="1" x14ac:dyDescent="0.2">
      <c r="B440" s="6"/>
      <c r="C440" s="5"/>
      <c r="Q440" s="8"/>
    </row>
    <row r="441" spans="2:17" ht="15.75" customHeight="1" x14ac:dyDescent="0.2">
      <c r="B441" s="6"/>
      <c r="C441" s="5"/>
      <c r="Q441" s="8"/>
    </row>
    <row r="442" spans="2:17" ht="15.75" customHeight="1" x14ac:dyDescent="0.2">
      <c r="B442" s="6"/>
      <c r="C442" s="5"/>
      <c r="Q442" s="8"/>
    </row>
    <row r="443" spans="2:17" ht="15.75" customHeight="1" x14ac:dyDescent="0.2">
      <c r="B443" s="6"/>
      <c r="C443" s="5"/>
      <c r="Q443" s="8"/>
    </row>
    <row r="444" spans="2:17" ht="15.75" customHeight="1" x14ac:dyDescent="0.2">
      <c r="B444" s="6"/>
      <c r="C444" s="5"/>
      <c r="Q444" s="8"/>
    </row>
    <row r="445" spans="2:17" ht="15.75" customHeight="1" x14ac:dyDescent="0.2">
      <c r="B445" s="6"/>
      <c r="C445" s="5"/>
      <c r="Q445" s="8"/>
    </row>
    <row r="446" spans="2:17" ht="15.75" customHeight="1" x14ac:dyDescent="0.2">
      <c r="B446" s="6"/>
      <c r="C446" s="5"/>
      <c r="Q446" s="8"/>
    </row>
    <row r="447" spans="2:17" ht="15.75" customHeight="1" x14ac:dyDescent="0.2">
      <c r="B447" s="6"/>
      <c r="C447" s="5"/>
      <c r="Q447" s="8"/>
    </row>
    <row r="448" spans="2:17" ht="15.75" customHeight="1" x14ac:dyDescent="0.2">
      <c r="B448" s="6"/>
      <c r="C448" s="5"/>
      <c r="Q448" s="8"/>
    </row>
    <row r="449" spans="2:17" ht="15.75" customHeight="1" x14ac:dyDescent="0.2">
      <c r="B449" s="6"/>
      <c r="C449" s="5"/>
      <c r="Q449" s="8"/>
    </row>
    <row r="450" spans="2:17" ht="15.75" customHeight="1" x14ac:dyDescent="0.2">
      <c r="B450" s="6"/>
      <c r="C450" s="5"/>
      <c r="Q450" s="8"/>
    </row>
    <row r="451" spans="2:17" ht="15.75" customHeight="1" x14ac:dyDescent="0.2">
      <c r="B451" s="6"/>
      <c r="C451" s="5"/>
      <c r="Q451" s="8"/>
    </row>
    <row r="452" spans="2:17" ht="15.75" customHeight="1" x14ac:dyDescent="0.2">
      <c r="B452" s="6"/>
      <c r="C452" s="5"/>
      <c r="Q452" s="8"/>
    </row>
    <row r="453" spans="2:17" ht="15.75" customHeight="1" x14ac:dyDescent="0.2">
      <c r="B453" s="6"/>
      <c r="C453" s="5"/>
      <c r="Q453" s="8"/>
    </row>
    <row r="454" spans="2:17" ht="15.75" customHeight="1" x14ac:dyDescent="0.2">
      <c r="B454" s="6"/>
      <c r="C454" s="5"/>
      <c r="Q454" s="8"/>
    </row>
    <row r="455" spans="2:17" ht="15.75" customHeight="1" x14ac:dyDescent="0.2">
      <c r="B455" s="6"/>
      <c r="C455" s="5"/>
      <c r="Q455" s="8"/>
    </row>
    <row r="456" spans="2:17" ht="15.75" customHeight="1" x14ac:dyDescent="0.2">
      <c r="B456" s="6"/>
      <c r="C456" s="5"/>
      <c r="Q456" s="8"/>
    </row>
    <row r="457" spans="2:17" ht="15.75" customHeight="1" x14ac:dyDescent="0.2">
      <c r="B457" s="6"/>
      <c r="C457" s="5"/>
      <c r="Q457" s="8"/>
    </row>
    <row r="458" spans="2:17" ht="15.75" customHeight="1" x14ac:dyDescent="0.2">
      <c r="B458" s="6"/>
      <c r="C458" s="5"/>
      <c r="Q458" s="8"/>
    </row>
    <row r="459" spans="2:17" ht="15.75" customHeight="1" x14ac:dyDescent="0.2">
      <c r="B459" s="6"/>
      <c r="C459" s="5"/>
      <c r="Q459" s="8"/>
    </row>
    <row r="460" spans="2:17" ht="15.75" customHeight="1" x14ac:dyDescent="0.2">
      <c r="B460" s="6"/>
      <c r="C460" s="5"/>
      <c r="Q460" s="8"/>
    </row>
    <row r="461" spans="2:17" ht="15.75" customHeight="1" x14ac:dyDescent="0.2">
      <c r="B461" s="6"/>
      <c r="C461" s="5"/>
      <c r="Q461" s="8"/>
    </row>
    <row r="462" spans="2:17" ht="15.75" customHeight="1" x14ac:dyDescent="0.2">
      <c r="B462" s="6"/>
      <c r="C462" s="5"/>
      <c r="Q462" s="8"/>
    </row>
    <row r="463" spans="2:17" ht="15.75" customHeight="1" x14ac:dyDescent="0.2">
      <c r="B463" s="6"/>
      <c r="C463" s="5"/>
      <c r="Q463" s="8"/>
    </row>
    <row r="464" spans="2:17" ht="15.75" customHeight="1" x14ac:dyDescent="0.2">
      <c r="B464" s="6"/>
      <c r="C464" s="5"/>
      <c r="Q464" s="8"/>
    </row>
    <row r="465" spans="2:17" ht="15.75" customHeight="1" x14ac:dyDescent="0.2">
      <c r="B465" s="6"/>
      <c r="C465" s="5"/>
      <c r="Q465" s="8"/>
    </row>
    <row r="466" spans="2:17" ht="15.75" customHeight="1" x14ac:dyDescent="0.2">
      <c r="B466" s="6"/>
      <c r="C466" s="5"/>
      <c r="Q466" s="8"/>
    </row>
    <row r="467" spans="2:17" ht="15.75" customHeight="1" x14ac:dyDescent="0.2">
      <c r="B467" s="6"/>
      <c r="C467" s="5"/>
      <c r="Q467" s="8"/>
    </row>
    <row r="468" spans="2:17" ht="15.75" customHeight="1" x14ac:dyDescent="0.2">
      <c r="B468" s="6"/>
      <c r="C468" s="5"/>
      <c r="Q468" s="8"/>
    </row>
    <row r="469" spans="2:17" ht="15.75" customHeight="1" x14ac:dyDescent="0.2">
      <c r="B469" s="6"/>
      <c r="C469" s="5"/>
      <c r="Q469" s="8"/>
    </row>
    <row r="470" spans="2:17" ht="15.75" customHeight="1" x14ac:dyDescent="0.2">
      <c r="B470" s="6"/>
      <c r="C470" s="5"/>
      <c r="Q470" s="8"/>
    </row>
    <row r="471" spans="2:17" ht="15.75" customHeight="1" x14ac:dyDescent="0.2">
      <c r="B471" s="6"/>
      <c r="C471" s="5"/>
      <c r="Q471" s="8"/>
    </row>
    <row r="472" spans="2:17" ht="15.75" customHeight="1" x14ac:dyDescent="0.2">
      <c r="B472" s="6"/>
      <c r="C472" s="5"/>
      <c r="Q472" s="8"/>
    </row>
    <row r="473" spans="2:17" ht="15.75" customHeight="1" x14ac:dyDescent="0.2">
      <c r="B473" s="6"/>
      <c r="C473" s="5"/>
      <c r="Q473" s="8"/>
    </row>
    <row r="474" spans="2:17" ht="15.75" customHeight="1" x14ac:dyDescent="0.2">
      <c r="B474" s="6"/>
      <c r="C474" s="5"/>
      <c r="Q474" s="8"/>
    </row>
    <row r="475" spans="2:17" ht="15.75" customHeight="1" x14ac:dyDescent="0.2">
      <c r="B475" s="6"/>
      <c r="C475" s="5"/>
      <c r="Q475" s="8"/>
    </row>
    <row r="476" spans="2:17" ht="15.75" customHeight="1" x14ac:dyDescent="0.2">
      <c r="B476" s="6"/>
      <c r="C476" s="5"/>
      <c r="Q476" s="8"/>
    </row>
    <row r="477" spans="2:17" ht="15.75" customHeight="1" x14ac:dyDescent="0.2">
      <c r="B477" s="6"/>
      <c r="C477" s="5"/>
      <c r="Q477" s="8"/>
    </row>
    <row r="478" spans="2:17" ht="15.75" customHeight="1" x14ac:dyDescent="0.2">
      <c r="B478" s="6"/>
      <c r="C478" s="5"/>
      <c r="Q478" s="8"/>
    </row>
    <row r="479" spans="2:17" ht="15.75" customHeight="1" x14ac:dyDescent="0.2">
      <c r="B479" s="6"/>
      <c r="C479" s="5"/>
      <c r="Q479" s="8"/>
    </row>
    <row r="480" spans="2:17" ht="15.75" customHeight="1" x14ac:dyDescent="0.2">
      <c r="B480" s="6"/>
      <c r="C480" s="5"/>
      <c r="Q480" s="8"/>
    </row>
    <row r="481" spans="2:17" ht="15.75" customHeight="1" x14ac:dyDescent="0.2">
      <c r="B481" s="6"/>
      <c r="C481" s="5"/>
      <c r="Q481" s="8"/>
    </row>
    <row r="482" spans="2:17" ht="15.75" customHeight="1" x14ac:dyDescent="0.2">
      <c r="B482" s="6"/>
      <c r="C482" s="5"/>
      <c r="Q482" s="8"/>
    </row>
    <row r="483" spans="2:17" ht="15.75" customHeight="1" x14ac:dyDescent="0.2">
      <c r="B483" s="6"/>
      <c r="C483" s="5"/>
      <c r="Q483" s="8"/>
    </row>
    <row r="484" spans="2:17" ht="15.75" customHeight="1" x14ac:dyDescent="0.2">
      <c r="B484" s="6"/>
      <c r="C484" s="5"/>
      <c r="Q484" s="8"/>
    </row>
    <row r="485" spans="2:17" ht="15.75" customHeight="1" x14ac:dyDescent="0.2">
      <c r="B485" s="6"/>
      <c r="C485" s="5"/>
      <c r="Q485" s="8"/>
    </row>
    <row r="486" spans="2:17" ht="15.75" customHeight="1" x14ac:dyDescent="0.2">
      <c r="B486" s="6"/>
      <c r="C486" s="5"/>
      <c r="Q486" s="8"/>
    </row>
    <row r="487" spans="2:17" ht="15.75" customHeight="1" x14ac:dyDescent="0.2">
      <c r="B487" s="6"/>
      <c r="C487" s="5"/>
      <c r="Q487" s="8"/>
    </row>
    <row r="488" spans="2:17" ht="15.75" customHeight="1" x14ac:dyDescent="0.2">
      <c r="B488" s="6"/>
      <c r="C488" s="5"/>
      <c r="Q488" s="8"/>
    </row>
    <row r="489" spans="2:17" ht="15.75" customHeight="1" x14ac:dyDescent="0.2">
      <c r="B489" s="6"/>
      <c r="C489" s="5"/>
      <c r="Q489" s="8"/>
    </row>
    <row r="490" spans="2:17" ht="15.75" customHeight="1" x14ac:dyDescent="0.2">
      <c r="B490" s="6"/>
      <c r="C490" s="5"/>
      <c r="Q490" s="8"/>
    </row>
    <row r="491" spans="2:17" ht="15.75" customHeight="1" x14ac:dyDescent="0.2">
      <c r="B491" s="6"/>
      <c r="C491" s="5"/>
      <c r="Q491" s="8"/>
    </row>
    <row r="492" spans="2:17" ht="15.75" customHeight="1" x14ac:dyDescent="0.2">
      <c r="B492" s="6"/>
      <c r="C492" s="5"/>
      <c r="Q492" s="8"/>
    </row>
    <row r="493" spans="2:17" ht="15.75" customHeight="1" x14ac:dyDescent="0.2">
      <c r="B493" s="6"/>
      <c r="C493" s="5"/>
      <c r="Q493" s="8"/>
    </row>
    <row r="494" spans="2:17" ht="15.75" customHeight="1" x14ac:dyDescent="0.2">
      <c r="B494" s="6"/>
      <c r="C494" s="5"/>
      <c r="Q494" s="8"/>
    </row>
    <row r="495" spans="2:17" ht="15.75" customHeight="1" x14ac:dyDescent="0.2">
      <c r="B495" s="6"/>
      <c r="C495" s="5"/>
      <c r="Q495" s="8"/>
    </row>
    <row r="496" spans="2:17" ht="15.75" customHeight="1" x14ac:dyDescent="0.2">
      <c r="B496" s="6"/>
      <c r="C496" s="5"/>
      <c r="Q496" s="8"/>
    </row>
    <row r="497" spans="2:17" ht="15.75" customHeight="1" x14ac:dyDescent="0.2">
      <c r="B497" s="6"/>
      <c r="C497" s="5"/>
      <c r="Q497" s="8"/>
    </row>
    <row r="498" spans="2:17" ht="15.75" customHeight="1" x14ac:dyDescent="0.2">
      <c r="B498" s="6"/>
      <c r="C498" s="5"/>
      <c r="Q498" s="8"/>
    </row>
    <row r="499" spans="2:17" ht="15.75" customHeight="1" x14ac:dyDescent="0.2">
      <c r="B499" s="6"/>
      <c r="C499" s="5"/>
      <c r="Q499" s="8"/>
    </row>
    <row r="500" spans="2:17" ht="15.75" customHeight="1" x14ac:dyDescent="0.2">
      <c r="B500" s="6"/>
      <c r="C500" s="5"/>
      <c r="Q500" s="8"/>
    </row>
    <row r="501" spans="2:17" ht="15.75" customHeight="1" x14ac:dyDescent="0.2">
      <c r="B501" s="6"/>
      <c r="C501" s="5"/>
      <c r="Q501" s="8"/>
    </row>
    <row r="502" spans="2:17" ht="15.75" customHeight="1" x14ac:dyDescent="0.2">
      <c r="B502" s="6"/>
      <c r="C502" s="5"/>
      <c r="Q502" s="8"/>
    </row>
    <row r="503" spans="2:17" ht="15.75" customHeight="1" x14ac:dyDescent="0.2">
      <c r="B503" s="6"/>
      <c r="C503" s="5"/>
      <c r="Q503" s="8"/>
    </row>
    <row r="504" spans="2:17" ht="15.75" customHeight="1" x14ac:dyDescent="0.2">
      <c r="B504" s="6"/>
      <c r="C504" s="5"/>
      <c r="Q504" s="8"/>
    </row>
    <row r="505" spans="2:17" ht="15.75" customHeight="1" x14ac:dyDescent="0.2">
      <c r="B505" s="6"/>
      <c r="C505" s="5"/>
      <c r="Q505" s="8"/>
    </row>
    <row r="506" spans="2:17" ht="15.75" customHeight="1" x14ac:dyDescent="0.2">
      <c r="B506" s="6"/>
      <c r="C506" s="5"/>
      <c r="Q506" s="8"/>
    </row>
    <row r="507" spans="2:17" ht="15.75" customHeight="1" x14ac:dyDescent="0.2">
      <c r="B507" s="6"/>
      <c r="C507" s="5"/>
      <c r="Q507" s="8"/>
    </row>
    <row r="508" spans="2:17" ht="15.75" customHeight="1" x14ac:dyDescent="0.2">
      <c r="B508" s="6"/>
      <c r="C508" s="5"/>
      <c r="Q508" s="8"/>
    </row>
    <row r="509" spans="2:17" ht="15.75" customHeight="1" x14ac:dyDescent="0.2">
      <c r="B509" s="6"/>
      <c r="C509" s="5"/>
      <c r="Q509" s="8"/>
    </row>
    <row r="510" spans="2:17" ht="15.75" customHeight="1" x14ac:dyDescent="0.2">
      <c r="B510" s="6"/>
      <c r="C510" s="5"/>
      <c r="Q510" s="8"/>
    </row>
    <row r="511" spans="2:17" ht="15.75" customHeight="1" x14ac:dyDescent="0.2">
      <c r="B511" s="6"/>
      <c r="C511" s="5"/>
      <c r="Q511" s="8"/>
    </row>
    <row r="512" spans="2:17" ht="15.75" customHeight="1" x14ac:dyDescent="0.2">
      <c r="B512" s="6"/>
      <c r="C512" s="5"/>
      <c r="Q512" s="8"/>
    </row>
    <row r="513" spans="2:17" ht="15.75" customHeight="1" x14ac:dyDescent="0.2">
      <c r="B513" s="6"/>
      <c r="C513" s="5"/>
      <c r="Q513" s="8"/>
    </row>
    <row r="514" spans="2:17" ht="15.75" customHeight="1" x14ac:dyDescent="0.2">
      <c r="B514" s="6"/>
      <c r="C514" s="5"/>
      <c r="Q514" s="8"/>
    </row>
    <row r="515" spans="2:17" ht="15.75" customHeight="1" x14ac:dyDescent="0.2">
      <c r="B515" s="6"/>
      <c r="C515" s="5"/>
      <c r="Q515" s="8"/>
    </row>
    <row r="516" spans="2:17" ht="15.75" customHeight="1" x14ac:dyDescent="0.2">
      <c r="B516" s="6"/>
      <c r="C516" s="5"/>
      <c r="Q516" s="8"/>
    </row>
    <row r="517" spans="2:17" ht="15.75" customHeight="1" x14ac:dyDescent="0.2">
      <c r="B517" s="6"/>
      <c r="C517" s="5"/>
      <c r="Q517" s="8"/>
    </row>
    <row r="518" spans="2:17" ht="15.75" customHeight="1" x14ac:dyDescent="0.2">
      <c r="B518" s="6"/>
      <c r="C518" s="5"/>
      <c r="Q518" s="8"/>
    </row>
    <row r="519" spans="2:17" ht="15.75" customHeight="1" x14ac:dyDescent="0.2">
      <c r="B519" s="6"/>
      <c r="C519" s="5"/>
      <c r="Q519" s="8"/>
    </row>
    <row r="520" spans="2:17" ht="15.75" customHeight="1" x14ac:dyDescent="0.2">
      <c r="B520" s="6"/>
      <c r="C520" s="5"/>
      <c r="Q520" s="8"/>
    </row>
    <row r="521" spans="2:17" ht="15.75" customHeight="1" x14ac:dyDescent="0.2">
      <c r="B521" s="6"/>
      <c r="C521" s="5"/>
      <c r="Q521" s="8"/>
    </row>
    <row r="522" spans="2:17" ht="15.75" customHeight="1" x14ac:dyDescent="0.2">
      <c r="B522" s="6"/>
      <c r="C522" s="5"/>
      <c r="Q522" s="8"/>
    </row>
    <row r="523" spans="2:17" ht="15.75" customHeight="1" x14ac:dyDescent="0.2">
      <c r="B523" s="6"/>
      <c r="C523" s="5"/>
      <c r="Q523" s="8"/>
    </row>
    <row r="524" spans="2:17" ht="15.75" customHeight="1" x14ac:dyDescent="0.2">
      <c r="B524" s="6"/>
      <c r="C524" s="5"/>
      <c r="Q524" s="8"/>
    </row>
    <row r="525" spans="2:17" ht="15.75" customHeight="1" x14ac:dyDescent="0.2">
      <c r="B525" s="6"/>
      <c r="C525" s="5"/>
      <c r="Q525" s="8"/>
    </row>
    <row r="526" spans="2:17" ht="15.75" customHeight="1" x14ac:dyDescent="0.2">
      <c r="B526" s="6"/>
      <c r="C526" s="5"/>
      <c r="Q526" s="8"/>
    </row>
    <row r="527" spans="2:17" ht="15.75" customHeight="1" x14ac:dyDescent="0.2">
      <c r="B527" s="6"/>
      <c r="C527" s="5"/>
      <c r="Q527" s="8"/>
    </row>
    <row r="528" spans="2:17" ht="15.75" customHeight="1" x14ac:dyDescent="0.2">
      <c r="B528" s="6"/>
      <c r="C528" s="5"/>
      <c r="Q528" s="8"/>
    </row>
    <row r="529" spans="2:17" ht="15.75" customHeight="1" x14ac:dyDescent="0.2">
      <c r="B529" s="6"/>
      <c r="C529" s="5"/>
      <c r="Q529" s="8"/>
    </row>
    <row r="530" spans="2:17" ht="15.75" customHeight="1" x14ac:dyDescent="0.2">
      <c r="B530" s="6"/>
      <c r="C530" s="5"/>
      <c r="Q530" s="8"/>
    </row>
    <row r="531" spans="2:17" ht="15.75" customHeight="1" x14ac:dyDescent="0.2">
      <c r="B531" s="6"/>
      <c r="C531" s="5"/>
      <c r="Q531" s="8"/>
    </row>
    <row r="532" spans="2:17" ht="15.75" customHeight="1" x14ac:dyDescent="0.2">
      <c r="B532" s="6"/>
      <c r="C532" s="5"/>
      <c r="Q532" s="8"/>
    </row>
    <row r="533" spans="2:17" ht="15.75" customHeight="1" x14ac:dyDescent="0.2">
      <c r="B533" s="6"/>
      <c r="C533" s="5"/>
      <c r="Q533" s="8"/>
    </row>
    <row r="534" spans="2:17" ht="15.75" customHeight="1" x14ac:dyDescent="0.2">
      <c r="B534" s="6"/>
      <c r="C534" s="5"/>
      <c r="Q534" s="8"/>
    </row>
    <row r="535" spans="2:17" ht="15.75" customHeight="1" x14ac:dyDescent="0.2">
      <c r="B535" s="6"/>
      <c r="C535" s="5"/>
      <c r="Q535" s="8"/>
    </row>
    <row r="536" spans="2:17" ht="15.75" customHeight="1" x14ac:dyDescent="0.2">
      <c r="B536" s="6"/>
      <c r="C536" s="5"/>
      <c r="Q536" s="8"/>
    </row>
    <row r="537" spans="2:17" ht="15.75" customHeight="1" x14ac:dyDescent="0.2">
      <c r="B537" s="6"/>
      <c r="C537" s="5"/>
      <c r="Q537" s="8"/>
    </row>
    <row r="538" spans="2:17" ht="15.75" customHeight="1" x14ac:dyDescent="0.2">
      <c r="B538" s="6"/>
      <c r="C538" s="5"/>
      <c r="Q538" s="8"/>
    </row>
    <row r="539" spans="2:17" ht="15.75" customHeight="1" x14ac:dyDescent="0.2">
      <c r="B539" s="6"/>
      <c r="C539" s="5"/>
      <c r="Q539" s="8"/>
    </row>
    <row r="540" spans="2:17" ht="15.75" customHeight="1" x14ac:dyDescent="0.2">
      <c r="B540" s="6"/>
      <c r="C540" s="5"/>
      <c r="Q540" s="8"/>
    </row>
    <row r="541" spans="2:17" ht="15.75" customHeight="1" x14ac:dyDescent="0.2">
      <c r="B541" s="6"/>
      <c r="C541" s="5"/>
      <c r="Q541" s="8"/>
    </row>
    <row r="542" spans="2:17" ht="15.75" customHeight="1" x14ac:dyDescent="0.2">
      <c r="B542" s="6"/>
      <c r="C542" s="5"/>
      <c r="Q542" s="8"/>
    </row>
    <row r="543" spans="2:17" ht="15.75" customHeight="1" x14ac:dyDescent="0.2">
      <c r="B543" s="6"/>
      <c r="C543" s="5"/>
      <c r="Q543" s="8"/>
    </row>
    <row r="544" spans="2:17" ht="15.75" customHeight="1" x14ac:dyDescent="0.2">
      <c r="B544" s="6"/>
      <c r="C544" s="5"/>
      <c r="Q544" s="8"/>
    </row>
    <row r="545" spans="2:17" ht="15.75" customHeight="1" x14ac:dyDescent="0.2">
      <c r="B545" s="6"/>
      <c r="C545" s="5"/>
      <c r="Q545" s="8"/>
    </row>
    <row r="546" spans="2:17" ht="15.75" customHeight="1" x14ac:dyDescent="0.2">
      <c r="B546" s="6"/>
      <c r="C546" s="5"/>
      <c r="Q546" s="8"/>
    </row>
    <row r="547" spans="2:17" ht="15.75" customHeight="1" x14ac:dyDescent="0.2">
      <c r="B547" s="6"/>
      <c r="C547" s="5"/>
      <c r="Q547" s="8"/>
    </row>
    <row r="548" spans="2:17" ht="15.75" customHeight="1" x14ac:dyDescent="0.2">
      <c r="B548" s="6"/>
      <c r="C548" s="5"/>
      <c r="Q548" s="8"/>
    </row>
    <row r="549" spans="2:17" ht="15.75" customHeight="1" x14ac:dyDescent="0.2">
      <c r="B549" s="6"/>
      <c r="C549" s="5"/>
      <c r="Q549" s="8"/>
    </row>
    <row r="550" spans="2:17" ht="15.75" customHeight="1" x14ac:dyDescent="0.2">
      <c r="B550" s="6"/>
      <c r="C550" s="5"/>
      <c r="Q550" s="8"/>
    </row>
    <row r="551" spans="2:17" ht="15.75" customHeight="1" x14ac:dyDescent="0.2">
      <c r="B551" s="6"/>
      <c r="C551" s="5"/>
      <c r="Q551" s="8"/>
    </row>
    <row r="552" spans="2:17" ht="15.75" customHeight="1" x14ac:dyDescent="0.2">
      <c r="B552" s="6"/>
      <c r="C552" s="5"/>
      <c r="Q552" s="8"/>
    </row>
    <row r="553" spans="2:17" ht="15.75" customHeight="1" x14ac:dyDescent="0.2">
      <c r="B553" s="6"/>
      <c r="C553" s="5"/>
      <c r="Q553" s="8"/>
    </row>
    <row r="554" spans="2:17" ht="15.75" customHeight="1" x14ac:dyDescent="0.2">
      <c r="B554" s="6"/>
      <c r="C554" s="5"/>
      <c r="Q554" s="8"/>
    </row>
    <row r="555" spans="2:17" ht="15.75" customHeight="1" x14ac:dyDescent="0.2">
      <c r="B555" s="6"/>
      <c r="C555" s="5"/>
      <c r="Q555" s="8"/>
    </row>
    <row r="556" spans="2:17" ht="15.75" customHeight="1" x14ac:dyDescent="0.2">
      <c r="B556" s="6"/>
      <c r="C556" s="5"/>
      <c r="Q556" s="8"/>
    </row>
    <row r="557" spans="2:17" ht="15.75" customHeight="1" x14ac:dyDescent="0.2">
      <c r="B557" s="6"/>
      <c r="C557" s="5"/>
      <c r="Q557" s="8"/>
    </row>
    <row r="558" spans="2:17" ht="15.75" customHeight="1" x14ac:dyDescent="0.2">
      <c r="B558" s="6"/>
      <c r="C558" s="5"/>
      <c r="Q558" s="8"/>
    </row>
    <row r="559" spans="2:17" ht="15.75" customHeight="1" x14ac:dyDescent="0.2">
      <c r="B559" s="6"/>
      <c r="C559" s="5"/>
      <c r="Q559" s="8"/>
    </row>
    <row r="560" spans="2:17" ht="15.75" customHeight="1" x14ac:dyDescent="0.2">
      <c r="B560" s="6"/>
      <c r="C560" s="5"/>
      <c r="Q560" s="8"/>
    </row>
    <row r="561" spans="2:17" ht="15.75" customHeight="1" x14ac:dyDescent="0.2">
      <c r="B561" s="6"/>
      <c r="C561" s="5"/>
      <c r="Q561" s="8"/>
    </row>
    <row r="562" spans="2:17" ht="15.75" customHeight="1" x14ac:dyDescent="0.2">
      <c r="B562" s="6"/>
      <c r="C562" s="5"/>
      <c r="Q562" s="8"/>
    </row>
    <row r="563" spans="2:17" ht="15.75" customHeight="1" x14ac:dyDescent="0.2">
      <c r="B563" s="6"/>
      <c r="C563" s="5"/>
      <c r="Q563" s="8"/>
    </row>
    <row r="564" spans="2:17" ht="15.75" customHeight="1" x14ac:dyDescent="0.2">
      <c r="B564" s="6"/>
      <c r="C564" s="5"/>
      <c r="Q564" s="8"/>
    </row>
    <row r="565" spans="2:17" ht="15.75" customHeight="1" x14ac:dyDescent="0.2"/>
    <row r="566" spans="2:17" ht="15.75" customHeight="1" x14ac:dyDescent="0.2"/>
    <row r="567" spans="2:17" ht="15.75" customHeight="1" x14ac:dyDescent="0.2"/>
    <row r="568" spans="2:17" ht="15.75" customHeight="1" x14ac:dyDescent="0.2"/>
    <row r="569" spans="2:17" ht="15.75" customHeight="1" x14ac:dyDescent="0.2"/>
    <row r="570" spans="2:17" ht="15.75" customHeight="1" x14ac:dyDescent="0.2"/>
    <row r="571" spans="2:17" ht="15.75" customHeight="1" x14ac:dyDescent="0.2"/>
    <row r="572" spans="2:17" ht="15.75" customHeight="1" x14ac:dyDescent="0.2"/>
    <row r="573" spans="2:17" ht="15.75" customHeight="1" x14ac:dyDescent="0.2"/>
    <row r="574" spans="2:17" ht="15.75" customHeight="1" x14ac:dyDescent="0.2"/>
    <row r="575" spans="2:17" ht="15.75" customHeight="1" x14ac:dyDescent="0.2"/>
    <row r="576" spans="2:17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Q273" xr:uid="{00000000-0009-0000-0000-000000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E1000"/>
  <sheetViews>
    <sheetView workbookViewId="0"/>
  </sheetViews>
  <sheetFormatPr baseColWidth="10" defaultColWidth="14.5" defaultRowHeight="15" customHeight="1" x14ac:dyDescent="0.2"/>
  <cols>
    <col min="1" max="1" width="13.1640625" customWidth="1"/>
    <col min="2" max="2" width="18.83203125" customWidth="1"/>
    <col min="3" max="3" width="13.6640625" customWidth="1"/>
    <col min="4" max="4" width="16.1640625" customWidth="1"/>
    <col min="5" max="5" width="7.33203125" customWidth="1"/>
    <col min="6" max="6" width="11.33203125" customWidth="1"/>
    <col min="7" max="7" width="17.5" customWidth="1"/>
    <col min="8" max="8" width="12.5" customWidth="1"/>
    <col min="9" max="9" width="17.5" customWidth="1"/>
    <col min="10" max="10" width="17.6640625" customWidth="1"/>
    <col min="11" max="11" width="22.5" customWidth="1"/>
    <col min="12" max="12" width="12.5" customWidth="1"/>
    <col min="13" max="13" width="17.5" customWidth="1"/>
    <col min="14" max="14" width="19.5" customWidth="1"/>
    <col min="15" max="15" width="17.6640625" customWidth="1"/>
    <col min="16" max="16" width="22.5" customWidth="1"/>
    <col min="17" max="17" width="17.5" customWidth="1"/>
    <col min="18" max="18" width="18.1640625" customWidth="1"/>
    <col min="19" max="19" width="19.5" customWidth="1"/>
    <col min="20" max="20" width="17.6640625" customWidth="1"/>
    <col min="21" max="21" width="22.5" customWidth="1"/>
    <col min="22" max="22" width="20" customWidth="1"/>
    <col min="23" max="23" width="18.1640625" customWidth="1"/>
    <col min="24" max="24" width="19.5" customWidth="1"/>
    <col min="25" max="25" width="17.6640625" customWidth="1"/>
    <col min="26" max="26" width="22.5" customWidth="1"/>
    <col min="27" max="27" width="20" customWidth="1"/>
    <col min="28" max="28" width="18.1640625" customWidth="1"/>
    <col min="29" max="29" width="19.5" customWidth="1"/>
    <col min="30" max="30" width="17.6640625" customWidth="1"/>
    <col min="31" max="31" width="22.5" customWidth="1"/>
  </cols>
  <sheetData>
    <row r="3" spans="1:6" x14ac:dyDescent="0.2">
      <c r="A3" s="13" t="s">
        <v>20</v>
      </c>
      <c r="B3" s="13" t="s">
        <v>0</v>
      </c>
      <c r="C3" s="24"/>
      <c r="D3" s="24"/>
      <c r="E3" s="25"/>
    </row>
    <row r="4" spans="1:6" x14ac:dyDescent="0.2">
      <c r="A4" s="13" t="s">
        <v>2</v>
      </c>
      <c r="B4" s="15" t="s">
        <v>19</v>
      </c>
      <c r="C4" s="26" t="s">
        <v>17</v>
      </c>
      <c r="D4" s="26" t="s">
        <v>18</v>
      </c>
      <c r="E4" s="14" t="s">
        <v>21</v>
      </c>
      <c r="F4" s="5"/>
    </row>
    <row r="5" spans="1:6" x14ac:dyDescent="0.2">
      <c r="A5" s="15">
        <v>2003</v>
      </c>
      <c r="B5" s="27"/>
      <c r="C5" s="28">
        <v>231</v>
      </c>
      <c r="D5" s="28"/>
      <c r="E5" s="16">
        <v>231</v>
      </c>
      <c r="F5" s="5"/>
    </row>
    <row r="6" spans="1:6" x14ac:dyDescent="0.2">
      <c r="A6" s="17">
        <v>2005</v>
      </c>
      <c r="B6" s="29"/>
      <c r="C6" s="30">
        <v>182</v>
      </c>
      <c r="D6" s="30"/>
      <c r="E6" s="18">
        <v>182</v>
      </c>
      <c r="F6" s="5"/>
    </row>
    <row r="7" spans="1:6" x14ac:dyDescent="0.2">
      <c r="A7" s="17">
        <v>2006</v>
      </c>
      <c r="B7" s="29"/>
      <c r="C7" s="30">
        <v>94</v>
      </c>
      <c r="D7" s="30"/>
      <c r="E7" s="18">
        <v>94</v>
      </c>
      <c r="F7" s="5"/>
    </row>
    <row r="8" spans="1:6" x14ac:dyDescent="0.2">
      <c r="A8" s="17">
        <v>2007</v>
      </c>
      <c r="B8" s="29"/>
      <c r="C8" s="30">
        <v>555</v>
      </c>
      <c r="D8" s="30"/>
      <c r="E8" s="18">
        <v>555</v>
      </c>
      <c r="F8" s="5"/>
    </row>
    <row r="9" spans="1:6" x14ac:dyDescent="0.2">
      <c r="A9" s="17">
        <v>2008</v>
      </c>
      <c r="B9" s="29"/>
      <c r="C9" s="30">
        <v>176</v>
      </c>
      <c r="D9" s="30"/>
      <c r="E9" s="18">
        <v>176</v>
      </c>
      <c r="F9" s="5"/>
    </row>
    <row r="10" spans="1:6" x14ac:dyDescent="0.2">
      <c r="A10" s="17">
        <v>2011</v>
      </c>
      <c r="B10" s="29"/>
      <c r="C10" s="30">
        <v>352</v>
      </c>
      <c r="D10" s="30"/>
      <c r="E10" s="18">
        <v>352</v>
      </c>
      <c r="F10" s="5"/>
    </row>
    <row r="11" spans="1:6" x14ac:dyDescent="0.2">
      <c r="A11" s="17">
        <v>2012</v>
      </c>
      <c r="B11" s="29">
        <v>32</v>
      </c>
      <c r="C11" s="30">
        <v>156</v>
      </c>
      <c r="D11" s="30">
        <v>17</v>
      </c>
      <c r="E11" s="18">
        <v>205</v>
      </c>
      <c r="F11" s="5"/>
    </row>
    <row r="12" spans="1:6" x14ac:dyDescent="0.2">
      <c r="A12" s="17">
        <v>2013</v>
      </c>
      <c r="B12" s="29">
        <v>18</v>
      </c>
      <c r="C12" s="30">
        <v>58</v>
      </c>
      <c r="D12" s="30">
        <v>32</v>
      </c>
      <c r="E12" s="18">
        <v>108</v>
      </c>
      <c r="F12" s="5"/>
    </row>
    <row r="13" spans="1:6" x14ac:dyDescent="0.2">
      <c r="A13" s="17">
        <v>2014</v>
      </c>
      <c r="B13" s="29">
        <v>18</v>
      </c>
      <c r="C13" s="30">
        <v>56</v>
      </c>
      <c r="D13" s="30">
        <v>77</v>
      </c>
      <c r="E13" s="18">
        <v>151</v>
      </c>
      <c r="F13" s="5"/>
    </row>
    <row r="14" spans="1:6" x14ac:dyDescent="0.2">
      <c r="A14" s="17">
        <v>2015</v>
      </c>
      <c r="B14" s="29">
        <v>99</v>
      </c>
      <c r="C14" s="30">
        <v>464</v>
      </c>
      <c r="D14" s="30">
        <v>240</v>
      </c>
      <c r="E14" s="18">
        <v>803</v>
      </c>
      <c r="F14" s="5"/>
    </row>
    <row r="15" spans="1:6" x14ac:dyDescent="0.2">
      <c r="A15" s="17">
        <v>2016</v>
      </c>
      <c r="B15" s="29">
        <v>19</v>
      </c>
      <c r="C15" s="30">
        <v>49</v>
      </c>
      <c r="D15" s="30">
        <v>11</v>
      </c>
      <c r="E15" s="18">
        <v>79</v>
      </c>
      <c r="F15" s="5"/>
    </row>
    <row r="16" spans="1:6" x14ac:dyDescent="0.2">
      <c r="A16" s="17">
        <v>2017</v>
      </c>
      <c r="B16" s="29">
        <v>182</v>
      </c>
      <c r="C16" s="30">
        <v>204</v>
      </c>
      <c r="D16" s="30">
        <v>244</v>
      </c>
      <c r="E16" s="18">
        <v>630</v>
      </c>
      <c r="F16" s="5"/>
    </row>
    <row r="17" spans="1:6" x14ac:dyDescent="0.2">
      <c r="A17" s="17">
        <v>2018</v>
      </c>
      <c r="B17" s="29">
        <v>187</v>
      </c>
      <c r="C17" s="30">
        <v>413</v>
      </c>
      <c r="D17" s="30">
        <v>271</v>
      </c>
      <c r="E17" s="18">
        <v>871</v>
      </c>
      <c r="F17" s="5"/>
    </row>
    <row r="18" spans="1:6" x14ac:dyDescent="0.2">
      <c r="A18" s="17">
        <v>2019</v>
      </c>
      <c r="B18" s="29">
        <v>289</v>
      </c>
      <c r="C18" s="30">
        <v>223</v>
      </c>
      <c r="D18" s="30">
        <v>459</v>
      </c>
      <c r="E18" s="18">
        <v>971</v>
      </c>
      <c r="F18" s="5"/>
    </row>
    <row r="19" spans="1:6" x14ac:dyDescent="0.2">
      <c r="A19" s="17">
        <v>2021</v>
      </c>
      <c r="B19" s="29">
        <v>197</v>
      </c>
      <c r="C19" s="30">
        <v>151</v>
      </c>
      <c r="D19" s="30">
        <v>107</v>
      </c>
      <c r="E19" s="18">
        <v>455</v>
      </c>
      <c r="F19" s="5"/>
    </row>
    <row r="20" spans="1:6" x14ac:dyDescent="0.2">
      <c r="A20" s="19" t="s">
        <v>21</v>
      </c>
      <c r="B20" s="31">
        <v>1041</v>
      </c>
      <c r="C20" s="32">
        <v>3364</v>
      </c>
      <c r="D20" s="32">
        <v>1458</v>
      </c>
      <c r="E20" s="20">
        <v>5863</v>
      </c>
      <c r="F20" s="5"/>
    </row>
    <row r="21" spans="1:6" ht="15.75" customHeight="1" x14ac:dyDescent="0.2">
      <c r="A21" s="12"/>
      <c r="B21" s="5"/>
      <c r="C21" s="5"/>
      <c r="D21" s="5"/>
      <c r="E21" s="5"/>
      <c r="F21" s="5"/>
    </row>
    <row r="22" spans="1:6" ht="15.75" customHeight="1" x14ac:dyDescent="0.2"/>
    <row r="23" spans="1:6" ht="15.75" customHeight="1" x14ac:dyDescent="0.2"/>
    <row r="24" spans="1:6" ht="15.75" customHeight="1" x14ac:dyDescent="0.2"/>
    <row r="25" spans="1:6" ht="15.75" customHeight="1" x14ac:dyDescent="0.2"/>
    <row r="26" spans="1:6" ht="15.75" customHeight="1" x14ac:dyDescent="0.2"/>
    <row r="27" spans="1:6" ht="15.75" customHeight="1" x14ac:dyDescent="0.2">
      <c r="A27" s="1" t="s">
        <v>22</v>
      </c>
    </row>
    <row r="28" spans="1:6" ht="15.75" customHeight="1" x14ac:dyDescent="0.2">
      <c r="A28" s="1" t="s">
        <v>23</v>
      </c>
      <c r="B28" s="1" t="s">
        <v>24</v>
      </c>
      <c r="C28" s="1" t="s">
        <v>25</v>
      </c>
      <c r="D28" s="1" t="s">
        <v>26</v>
      </c>
      <c r="E28" s="1" t="s">
        <v>27</v>
      </c>
    </row>
    <row r="29" spans="1:6" ht="15.75" customHeight="1" x14ac:dyDescent="0.2">
      <c r="A29" s="12">
        <v>2003</v>
      </c>
      <c r="B29" s="5"/>
      <c r="C29" s="5">
        <v>231</v>
      </c>
      <c r="D29" s="5"/>
      <c r="E29" s="5">
        <v>231</v>
      </c>
    </row>
    <row r="30" spans="1:6" ht="15.75" customHeight="1" x14ac:dyDescent="0.2">
      <c r="A30" s="12">
        <v>2005</v>
      </c>
      <c r="B30" s="5"/>
      <c r="C30" s="5">
        <v>182</v>
      </c>
      <c r="D30" s="5"/>
      <c r="E30" s="5">
        <v>182</v>
      </c>
    </row>
    <row r="31" spans="1:6" ht="15.75" customHeight="1" x14ac:dyDescent="0.2">
      <c r="A31" s="12">
        <v>2006</v>
      </c>
      <c r="B31" s="5"/>
      <c r="C31" s="5">
        <v>94</v>
      </c>
      <c r="D31" s="5"/>
      <c r="E31" s="5">
        <v>94</v>
      </c>
    </row>
    <row r="32" spans="1:6" ht="15.75" customHeight="1" x14ac:dyDescent="0.2">
      <c r="A32" s="12">
        <v>2007</v>
      </c>
      <c r="B32" s="5"/>
      <c r="C32" s="5">
        <v>555</v>
      </c>
      <c r="D32" s="5"/>
      <c r="E32" s="5">
        <v>555</v>
      </c>
    </row>
    <row r="33" spans="1:5" ht="15.75" customHeight="1" x14ac:dyDescent="0.2">
      <c r="A33" s="12">
        <v>2008</v>
      </c>
      <c r="B33" s="5"/>
      <c r="C33" s="5">
        <v>176</v>
      </c>
      <c r="D33" s="5"/>
      <c r="E33" s="5">
        <v>176</v>
      </c>
    </row>
    <row r="34" spans="1:5" ht="15.75" customHeight="1" x14ac:dyDescent="0.2">
      <c r="A34" s="12">
        <v>2011</v>
      </c>
      <c r="B34" s="5"/>
      <c r="C34" s="5">
        <v>352</v>
      </c>
      <c r="D34" s="5"/>
      <c r="E34" s="5">
        <v>352</v>
      </c>
    </row>
    <row r="35" spans="1:5" ht="15.75" customHeight="1" x14ac:dyDescent="0.2">
      <c r="A35" s="12">
        <v>2012</v>
      </c>
      <c r="B35" s="5">
        <v>32</v>
      </c>
      <c r="C35" s="5">
        <v>156</v>
      </c>
      <c r="D35" s="5">
        <v>17</v>
      </c>
      <c r="E35" s="5">
        <v>205</v>
      </c>
    </row>
    <row r="36" spans="1:5" ht="15.75" customHeight="1" x14ac:dyDescent="0.2">
      <c r="A36" s="12">
        <v>2013</v>
      </c>
      <c r="B36" s="5">
        <v>18</v>
      </c>
      <c r="C36" s="5">
        <v>58</v>
      </c>
      <c r="D36" s="5">
        <v>32</v>
      </c>
      <c r="E36" s="5">
        <v>108</v>
      </c>
    </row>
    <row r="37" spans="1:5" ht="15.75" customHeight="1" x14ac:dyDescent="0.2">
      <c r="A37" s="12">
        <v>2014</v>
      </c>
      <c r="B37" s="5">
        <v>18</v>
      </c>
      <c r="C37" s="5">
        <v>56</v>
      </c>
      <c r="D37" s="5">
        <v>77</v>
      </c>
      <c r="E37" s="5">
        <v>151</v>
      </c>
    </row>
    <row r="38" spans="1:5" ht="15.75" customHeight="1" x14ac:dyDescent="0.2">
      <c r="A38" s="12">
        <v>2015</v>
      </c>
      <c r="B38" s="5">
        <v>99</v>
      </c>
      <c r="C38" s="5">
        <v>464</v>
      </c>
      <c r="D38" s="5">
        <v>240</v>
      </c>
      <c r="E38" s="5">
        <v>803</v>
      </c>
    </row>
    <row r="39" spans="1:5" ht="15.75" customHeight="1" x14ac:dyDescent="0.2">
      <c r="A39" s="12">
        <v>2016</v>
      </c>
      <c r="B39" s="5">
        <v>19</v>
      </c>
      <c r="C39" s="5">
        <v>49</v>
      </c>
      <c r="D39" s="5">
        <v>11</v>
      </c>
      <c r="E39" s="5">
        <v>79</v>
      </c>
    </row>
    <row r="40" spans="1:5" ht="15.75" customHeight="1" x14ac:dyDescent="0.2">
      <c r="A40" s="12">
        <v>2017</v>
      </c>
      <c r="B40" s="5">
        <v>182</v>
      </c>
      <c r="C40" s="5">
        <v>204</v>
      </c>
      <c r="D40" s="5">
        <v>244</v>
      </c>
      <c r="E40" s="5">
        <v>630</v>
      </c>
    </row>
    <row r="41" spans="1:5" ht="15.75" customHeight="1" x14ac:dyDescent="0.2">
      <c r="A41" s="12">
        <v>2018</v>
      </c>
      <c r="B41" s="5">
        <v>187</v>
      </c>
      <c r="C41" s="5">
        <v>413</v>
      </c>
      <c r="D41" s="5">
        <v>271</v>
      </c>
      <c r="E41" s="5">
        <v>871</v>
      </c>
    </row>
    <row r="42" spans="1:5" ht="15.75" customHeight="1" x14ac:dyDescent="0.2">
      <c r="A42" s="12">
        <v>2019</v>
      </c>
      <c r="B42" s="5">
        <v>289</v>
      </c>
      <c r="C42" s="5">
        <v>223</v>
      </c>
      <c r="D42" s="5">
        <v>459</v>
      </c>
      <c r="E42" s="5">
        <v>971</v>
      </c>
    </row>
    <row r="43" spans="1:5" ht="15.75" customHeight="1" x14ac:dyDescent="0.2">
      <c r="A43" s="12">
        <v>2021</v>
      </c>
      <c r="B43" s="5">
        <v>197</v>
      </c>
      <c r="C43" s="5">
        <v>151</v>
      </c>
      <c r="D43" s="5">
        <v>107</v>
      </c>
      <c r="E43" s="5">
        <v>455</v>
      </c>
    </row>
    <row r="44" spans="1:5" ht="15.75" customHeight="1" x14ac:dyDescent="0.2"/>
    <row r="45" spans="1:5" ht="15.75" customHeight="1" x14ac:dyDescent="0.2"/>
    <row r="46" spans="1:5" ht="15.75" customHeight="1" x14ac:dyDescent="0.2"/>
    <row r="47" spans="1:5" ht="15.75" customHeight="1" x14ac:dyDescent="0.2"/>
    <row r="48" spans="1:5" ht="15.75" customHeight="1" x14ac:dyDescent="0.2"/>
    <row r="49" spans="1:31" ht="15.75" customHeight="1" x14ac:dyDescent="0.2"/>
    <row r="50" spans="1:31" ht="15.75" customHeight="1" x14ac:dyDescent="0.2"/>
    <row r="51" spans="1:31" ht="15.75" customHeight="1" x14ac:dyDescent="0.2"/>
    <row r="52" spans="1:31" ht="15.75" customHeight="1" x14ac:dyDescent="0.2"/>
    <row r="53" spans="1:31" ht="15.75" customHeight="1" x14ac:dyDescent="0.2"/>
    <row r="54" spans="1:31" ht="15.75" customHeight="1" x14ac:dyDescent="0.2"/>
    <row r="55" spans="1:31" ht="15.75" customHeight="1" x14ac:dyDescent="0.2"/>
    <row r="56" spans="1:31" ht="15.75" customHeight="1" x14ac:dyDescent="0.2"/>
    <row r="57" spans="1:31" ht="15.75" customHeight="1" x14ac:dyDescent="0.2"/>
    <row r="58" spans="1:31" ht="15.75" customHeight="1" x14ac:dyDescent="0.2"/>
    <row r="59" spans="1:31" ht="15.75" customHeight="1" x14ac:dyDescent="0.2"/>
    <row r="60" spans="1:31" ht="15.75" customHeight="1" x14ac:dyDescent="0.2">
      <c r="A60" s="5" t="s">
        <v>28</v>
      </c>
      <c r="B60" s="5" t="s">
        <v>29</v>
      </c>
      <c r="C60" s="5" t="s">
        <v>30</v>
      </c>
      <c r="D60" s="5" t="s">
        <v>31</v>
      </c>
      <c r="E60" s="5" t="s">
        <v>32</v>
      </c>
      <c r="F60" s="5" t="s">
        <v>33</v>
      </c>
      <c r="G60" s="5" t="s">
        <v>34</v>
      </c>
      <c r="H60" s="5" t="s">
        <v>29</v>
      </c>
      <c r="I60" s="5" t="s">
        <v>30</v>
      </c>
      <c r="J60" s="5" t="s">
        <v>31</v>
      </c>
      <c r="K60" s="5" t="s">
        <v>32</v>
      </c>
      <c r="L60" s="5" t="s">
        <v>33</v>
      </c>
      <c r="M60" s="5" t="s">
        <v>34</v>
      </c>
      <c r="N60" s="5" t="s">
        <v>29</v>
      </c>
      <c r="O60" s="5" t="s">
        <v>30</v>
      </c>
      <c r="P60" s="5" t="s">
        <v>31</v>
      </c>
      <c r="Q60" s="5" t="s">
        <v>32</v>
      </c>
      <c r="R60" s="5" t="s">
        <v>33</v>
      </c>
      <c r="S60" s="5" t="s">
        <v>34</v>
      </c>
      <c r="T60" s="5" t="s">
        <v>29</v>
      </c>
      <c r="U60" s="5" t="s">
        <v>30</v>
      </c>
      <c r="V60" s="5" t="s">
        <v>31</v>
      </c>
      <c r="W60" s="5" t="s">
        <v>32</v>
      </c>
      <c r="X60" s="5" t="s">
        <v>33</v>
      </c>
      <c r="Y60" s="5" t="s">
        <v>34</v>
      </c>
      <c r="Z60" s="5"/>
      <c r="AA60" s="5"/>
      <c r="AB60" s="5"/>
      <c r="AC60" s="5"/>
      <c r="AD60" s="5"/>
      <c r="AE60" s="5"/>
    </row>
    <row r="61" spans="1:31" ht="15.75" customHeight="1" x14ac:dyDescent="0.2">
      <c r="A61" s="12">
        <v>2003</v>
      </c>
      <c r="B61" s="5"/>
      <c r="C61" s="5"/>
      <c r="D61" s="5"/>
      <c r="E61" s="5"/>
      <c r="F61" s="5"/>
      <c r="G61" s="5"/>
      <c r="H61" s="5">
        <v>37</v>
      </c>
      <c r="I61" s="5">
        <v>27</v>
      </c>
      <c r="J61" s="5">
        <v>6</v>
      </c>
      <c r="K61" s="5">
        <v>2</v>
      </c>
      <c r="L61" s="5">
        <v>0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>
        <v>37</v>
      </c>
      <c r="AA61" s="5">
        <v>27</v>
      </c>
      <c r="AB61" s="5">
        <v>6</v>
      </c>
      <c r="AC61" s="5">
        <v>2</v>
      </c>
      <c r="AD61" s="5">
        <v>0</v>
      </c>
      <c r="AE61" s="5"/>
    </row>
    <row r="62" spans="1:31" ht="15.75" customHeight="1" x14ac:dyDescent="0.2">
      <c r="A62" s="12">
        <v>2005</v>
      </c>
      <c r="B62" s="5"/>
      <c r="C62" s="5"/>
      <c r="D62" s="5"/>
      <c r="E62" s="5"/>
      <c r="F62" s="5"/>
      <c r="G62" s="5"/>
      <c r="H62" s="5">
        <v>13</v>
      </c>
      <c r="I62" s="5">
        <v>6</v>
      </c>
      <c r="J62" s="5">
        <v>3</v>
      </c>
      <c r="K62" s="5">
        <v>1</v>
      </c>
      <c r="L62" s="5">
        <v>1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>
        <v>13</v>
      </c>
      <c r="AA62" s="5">
        <v>6</v>
      </c>
      <c r="AB62" s="5">
        <v>3</v>
      </c>
      <c r="AC62" s="5">
        <v>1</v>
      </c>
      <c r="AD62" s="5">
        <v>1</v>
      </c>
      <c r="AE62" s="5"/>
    </row>
    <row r="63" spans="1:31" ht="15.75" customHeight="1" x14ac:dyDescent="0.2">
      <c r="A63" s="12">
        <v>2006</v>
      </c>
      <c r="B63" s="5"/>
      <c r="C63" s="5"/>
      <c r="D63" s="5"/>
      <c r="E63" s="5"/>
      <c r="F63" s="5"/>
      <c r="G63" s="5"/>
      <c r="H63" s="5">
        <v>9</v>
      </c>
      <c r="I63" s="5">
        <v>2</v>
      </c>
      <c r="J63" s="5">
        <v>0</v>
      </c>
      <c r="K63" s="5">
        <v>0</v>
      </c>
      <c r="L63" s="5">
        <v>0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9</v>
      </c>
      <c r="AA63" s="5">
        <v>2</v>
      </c>
      <c r="AB63" s="5">
        <v>0</v>
      </c>
      <c r="AC63" s="5">
        <v>0</v>
      </c>
      <c r="AD63" s="5">
        <v>0</v>
      </c>
      <c r="AE63" s="5"/>
    </row>
    <row r="64" spans="1:31" ht="15.75" customHeight="1" x14ac:dyDescent="0.2">
      <c r="A64" s="12">
        <v>2007</v>
      </c>
      <c r="B64" s="5"/>
      <c r="C64" s="5"/>
      <c r="D64" s="5"/>
      <c r="E64" s="5"/>
      <c r="F64" s="5"/>
      <c r="G64" s="5"/>
      <c r="H64" s="5">
        <v>45</v>
      </c>
      <c r="I64" s="5">
        <v>23</v>
      </c>
      <c r="J64" s="5">
        <v>8</v>
      </c>
      <c r="K64" s="5">
        <v>13</v>
      </c>
      <c r="L64" s="5">
        <v>17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>
        <v>45</v>
      </c>
      <c r="AA64" s="5">
        <v>23</v>
      </c>
      <c r="AB64" s="5">
        <v>8</v>
      </c>
      <c r="AC64" s="5">
        <v>13</v>
      </c>
      <c r="AD64" s="5">
        <v>17</v>
      </c>
      <c r="AE64" s="5"/>
    </row>
    <row r="65" spans="1:31" ht="15.75" customHeight="1" x14ac:dyDescent="0.2">
      <c r="A65" s="12">
        <v>2008</v>
      </c>
      <c r="B65" s="5"/>
      <c r="C65" s="5"/>
      <c r="D65" s="5"/>
      <c r="E65" s="5"/>
      <c r="F65" s="5"/>
      <c r="G65" s="5"/>
      <c r="H65" s="5">
        <v>2</v>
      </c>
      <c r="I65" s="5">
        <v>1</v>
      </c>
      <c r="J65" s="5">
        <v>0</v>
      </c>
      <c r="K65" s="5">
        <v>1</v>
      </c>
      <c r="L65" s="5">
        <v>1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>
        <v>2</v>
      </c>
      <c r="AA65" s="5">
        <v>1</v>
      </c>
      <c r="AB65" s="5">
        <v>0</v>
      </c>
      <c r="AC65" s="5">
        <v>1</v>
      </c>
      <c r="AD65" s="5">
        <v>1</v>
      </c>
      <c r="AE65" s="5"/>
    </row>
    <row r="66" spans="1:31" ht="15.75" customHeight="1" x14ac:dyDescent="0.2">
      <c r="A66" s="12">
        <v>2011</v>
      </c>
      <c r="B66" s="5"/>
      <c r="C66" s="5"/>
      <c r="D66" s="5"/>
      <c r="E66" s="5"/>
      <c r="F66" s="5"/>
      <c r="G66" s="5"/>
      <c r="H66" s="5">
        <v>9</v>
      </c>
      <c r="I66" s="5">
        <v>4</v>
      </c>
      <c r="J66" s="5">
        <v>2</v>
      </c>
      <c r="K66" s="5">
        <v>1</v>
      </c>
      <c r="L66" s="5">
        <v>1</v>
      </c>
      <c r="M66" s="5">
        <v>0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>
        <v>9</v>
      </c>
      <c r="AA66" s="5">
        <v>4</v>
      </c>
      <c r="AB66" s="5">
        <v>2</v>
      </c>
      <c r="AC66" s="5">
        <v>1</v>
      </c>
      <c r="AD66" s="5">
        <v>1</v>
      </c>
      <c r="AE66" s="5">
        <v>0</v>
      </c>
    </row>
    <row r="67" spans="1:31" ht="15.75" customHeight="1" x14ac:dyDescent="0.2">
      <c r="A67" s="12">
        <v>2012</v>
      </c>
      <c r="B67" s="5">
        <v>2</v>
      </c>
      <c r="C67" s="5">
        <v>0</v>
      </c>
      <c r="D67" s="5">
        <v>1</v>
      </c>
      <c r="E67" s="5">
        <v>0</v>
      </c>
      <c r="F67" s="5">
        <v>0</v>
      </c>
      <c r="G67" s="5">
        <v>0</v>
      </c>
      <c r="H67" s="5">
        <v>3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/>
      <c r="U67" s="5"/>
      <c r="V67" s="5"/>
      <c r="W67" s="5"/>
      <c r="X67" s="5"/>
      <c r="Y67" s="5"/>
      <c r="Z67" s="5">
        <v>5</v>
      </c>
      <c r="AA67" s="5">
        <v>0</v>
      </c>
      <c r="AB67" s="5">
        <v>1</v>
      </c>
      <c r="AC67" s="5">
        <v>0</v>
      </c>
      <c r="AD67" s="5">
        <v>0</v>
      </c>
      <c r="AE67" s="5">
        <v>0</v>
      </c>
    </row>
    <row r="68" spans="1:31" ht="15.75" customHeight="1" x14ac:dyDescent="0.2">
      <c r="A68" s="12">
        <v>2013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3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1</v>
      </c>
      <c r="P68" s="5">
        <v>0</v>
      </c>
      <c r="Q68" s="5">
        <v>0</v>
      </c>
      <c r="R68" s="5">
        <v>0</v>
      </c>
      <c r="S68" s="5">
        <v>0</v>
      </c>
      <c r="T68" s="5"/>
      <c r="U68" s="5"/>
      <c r="V68" s="5"/>
      <c r="W68" s="5"/>
      <c r="X68" s="5"/>
      <c r="Y68" s="5"/>
      <c r="Z68" s="5">
        <v>3</v>
      </c>
      <c r="AA68" s="5">
        <v>1</v>
      </c>
      <c r="AB68" s="5">
        <v>0</v>
      </c>
      <c r="AC68" s="5">
        <v>0</v>
      </c>
      <c r="AD68" s="5">
        <v>0</v>
      </c>
      <c r="AE68" s="5">
        <v>0</v>
      </c>
    </row>
    <row r="69" spans="1:31" ht="15.75" customHeight="1" x14ac:dyDescent="0.2">
      <c r="A69" s="12">
        <v>2014</v>
      </c>
      <c r="B69" s="5">
        <v>0</v>
      </c>
      <c r="C69" s="5">
        <v>0</v>
      </c>
      <c r="D69" s="5">
        <v>3</v>
      </c>
      <c r="E69" s="5">
        <v>0</v>
      </c>
      <c r="F69" s="5">
        <v>0</v>
      </c>
      <c r="G69" s="5">
        <v>0</v>
      </c>
      <c r="H69" s="5">
        <v>2</v>
      </c>
      <c r="I69" s="5">
        <v>3</v>
      </c>
      <c r="J69" s="5">
        <v>2</v>
      </c>
      <c r="K69" s="5">
        <v>1</v>
      </c>
      <c r="L69" s="5">
        <v>0</v>
      </c>
      <c r="M69" s="5">
        <v>0</v>
      </c>
      <c r="N69" s="5">
        <v>2</v>
      </c>
      <c r="O69" s="5">
        <v>3</v>
      </c>
      <c r="P69" s="5">
        <v>1</v>
      </c>
      <c r="Q69" s="5">
        <v>1</v>
      </c>
      <c r="R69" s="5">
        <v>0</v>
      </c>
      <c r="S69" s="5">
        <v>0</v>
      </c>
      <c r="T69" s="5"/>
      <c r="U69" s="5"/>
      <c r="V69" s="5"/>
      <c r="W69" s="5"/>
      <c r="X69" s="5"/>
      <c r="Y69" s="5"/>
      <c r="Z69" s="5">
        <v>4</v>
      </c>
      <c r="AA69" s="5">
        <v>6</v>
      </c>
      <c r="AB69" s="5">
        <v>6</v>
      </c>
      <c r="AC69" s="5">
        <v>2</v>
      </c>
      <c r="AD69" s="5">
        <v>0</v>
      </c>
      <c r="AE69" s="5">
        <v>0</v>
      </c>
    </row>
    <row r="70" spans="1:31" ht="15.75" customHeight="1" x14ac:dyDescent="0.2">
      <c r="A70" s="12">
        <v>2015</v>
      </c>
      <c r="B70" s="5">
        <v>4</v>
      </c>
      <c r="C70" s="5">
        <v>3</v>
      </c>
      <c r="D70" s="5">
        <v>0</v>
      </c>
      <c r="E70" s="5">
        <v>0</v>
      </c>
      <c r="F70" s="5">
        <v>0</v>
      </c>
      <c r="G70" s="5">
        <v>0</v>
      </c>
      <c r="H70" s="5">
        <v>5</v>
      </c>
      <c r="I70" s="5">
        <v>3</v>
      </c>
      <c r="J70" s="5">
        <v>1</v>
      </c>
      <c r="K70" s="5">
        <v>0</v>
      </c>
      <c r="L70" s="5">
        <v>1</v>
      </c>
      <c r="M70" s="5">
        <v>0</v>
      </c>
      <c r="N70" s="5">
        <v>19</v>
      </c>
      <c r="O70" s="5">
        <v>4</v>
      </c>
      <c r="P70" s="5">
        <v>3</v>
      </c>
      <c r="Q70" s="5">
        <v>6</v>
      </c>
      <c r="R70" s="5">
        <v>5</v>
      </c>
      <c r="S70" s="5">
        <v>0</v>
      </c>
      <c r="T70" s="5"/>
      <c r="U70" s="5"/>
      <c r="V70" s="5"/>
      <c r="W70" s="5"/>
      <c r="X70" s="5"/>
      <c r="Y70" s="5"/>
      <c r="Z70" s="5">
        <v>28</v>
      </c>
      <c r="AA70" s="5">
        <v>10</v>
      </c>
      <c r="AB70" s="5">
        <v>4</v>
      </c>
      <c r="AC70" s="5">
        <v>6</v>
      </c>
      <c r="AD70" s="5">
        <v>6</v>
      </c>
      <c r="AE70" s="5">
        <v>0</v>
      </c>
    </row>
    <row r="71" spans="1:31" ht="15.75" customHeight="1" x14ac:dyDescent="0.2">
      <c r="A71" s="12">
        <v>2016</v>
      </c>
      <c r="B71" s="5">
        <v>2</v>
      </c>
      <c r="C71" s="5">
        <v>0</v>
      </c>
      <c r="D71" s="5">
        <v>0</v>
      </c>
      <c r="E71" s="5">
        <v>0</v>
      </c>
      <c r="F71" s="5">
        <v>1</v>
      </c>
      <c r="G71" s="5">
        <v>0</v>
      </c>
      <c r="H71" s="5">
        <v>1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/>
      <c r="U71" s="5"/>
      <c r="V71" s="5"/>
      <c r="W71" s="5"/>
      <c r="X71" s="5"/>
      <c r="Y71" s="5"/>
      <c r="Z71" s="5">
        <v>3</v>
      </c>
      <c r="AA71" s="5">
        <v>0</v>
      </c>
      <c r="AB71" s="5">
        <v>0</v>
      </c>
      <c r="AC71" s="5">
        <v>0</v>
      </c>
      <c r="AD71" s="5">
        <v>1</v>
      </c>
      <c r="AE71" s="5">
        <v>0</v>
      </c>
    </row>
    <row r="72" spans="1:31" ht="15.75" customHeight="1" x14ac:dyDescent="0.2">
      <c r="A72" s="12">
        <v>2017</v>
      </c>
      <c r="B72" s="5">
        <v>7</v>
      </c>
      <c r="C72" s="5">
        <v>11</v>
      </c>
      <c r="D72" s="5">
        <v>8</v>
      </c>
      <c r="E72" s="5">
        <v>2</v>
      </c>
      <c r="F72" s="5">
        <v>0</v>
      </c>
      <c r="G72" s="5">
        <v>2</v>
      </c>
      <c r="H72" s="5">
        <v>25</v>
      </c>
      <c r="I72" s="5">
        <v>12</v>
      </c>
      <c r="J72" s="5">
        <v>5</v>
      </c>
      <c r="K72" s="5">
        <v>1</v>
      </c>
      <c r="L72" s="5">
        <v>1</v>
      </c>
      <c r="M72" s="5">
        <v>16</v>
      </c>
      <c r="N72" s="5">
        <v>24</v>
      </c>
      <c r="O72" s="5">
        <v>13</v>
      </c>
      <c r="P72" s="5">
        <v>6</v>
      </c>
      <c r="Q72" s="5">
        <v>0</v>
      </c>
      <c r="R72" s="5">
        <v>2</v>
      </c>
      <c r="S72" s="5">
        <v>0</v>
      </c>
      <c r="T72" s="5"/>
      <c r="U72" s="5"/>
      <c r="V72" s="5"/>
      <c r="W72" s="5"/>
      <c r="X72" s="5"/>
      <c r="Y72" s="5"/>
      <c r="Z72" s="5">
        <v>56</v>
      </c>
      <c r="AA72" s="5">
        <v>36</v>
      </c>
      <c r="AB72" s="5">
        <v>19</v>
      </c>
      <c r="AC72" s="5">
        <v>3</v>
      </c>
      <c r="AD72" s="5">
        <v>3</v>
      </c>
      <c r="AE72" s="5">
        <v>18</v>
      </c>
    </row>
    <row r="73" spans="1:31" ht="15.75" customHeight="1" x14ac:dyDescent="0.2">
      <c r="A73" s="12">
        <v>2018</v>
      </c>
      <c r="B73" s="5">
        <v>27</v>
      </c>
      <c r="C73" s="5">
        <v>12</v>
      </c>
      <c r="D73" s="5">
        <v>6</v>
      </c>
      <c r="E73" s="5">
        <v>1</v>
      </c>
      <c r="F73" s="5">
        <v>4</v>
      </c>
      <c r="G73" s="5">
        <v>0</v>
      </c>
      <c r="H73" s="5">
        <v>25</v>
      </c>
      <c r="I73" s="5">
        <v>15</v>
      </c>
      <c r="J73" s="5">
        <v>4</v>
      </c>
      <c r="K73" s="5">
        <v>2</v>
      </c>
      <c r="L73" s="5">
        <v>2</v>
      </c>
      <c r="M73" s="5">
        <v>0</v>
      </c>
      <c r="N73" s="5">
        <v>16</v>
      </c>
      <c r="O73" s="5">
        <v>15</v>
      </c>
      <c r="P73" s="5">
        <v>11</v>
      </c>
      <c r="Q73" s="5">
        <v>5</v>
      </c>
      <c r="R73" s="5">
        <v>2</v>
      </c>
      <c r="S73" s="5">
        <v>1</v>
      </c>
      <c r="T73" s="5"/>
      <c r="U73" s="5"/>
      <c r="V73" s="5"/>
      <c r="W73" s="5"/>
      <c r="X73" s="5"/>
      <c r="Y73" s="5"/>
      <c r="Z73" s="5">
        <v>68</v>
      </c>
      <c r="AA73" s="5">
        <v>42</v>
      </c>
      <c r="AB73" s="5">
        <v>21</v>
      </c>
      <c r="AC73" s="5">
        <v>8</v>
      </c>
      <c r="AD73" s="5">
        <v>8</v>
      </c>
      <c r="AE73" s="5">
        <v>1</v>
      </c>
    </row>
    <row r="74" spans="1:31" ht="15.75" customHeight="1" x14ac:dyDescent="0.2">
      <c r="A74" s="12">
        <v>2019</v>
      </c>
      <c r="B74" s="5">
        <v>26</v>
      </c>
      <c r="C74" s="5">
        <v>20</v>
      </c>
      <c r="D74" s="5">
        <v>8</v>
      </c>
      <c r="E74" s="5">
        <v>5</v>
      </c>
      <c r="F74" s="5">
        <v>3</v>
      </c>
      <c r="G74" s="5">
        <v>0</v>
      </c>
      <c r="H74" s="5">
        <v>41</v>
      </c>
      <c r="I74" s="5">
        <v>22</v>
      </c>
      <c r="J74" s="5">
        <v>2</v>
      </c>
      <c r="K74" s="5">
        <v>0</v>
      </c>
      <c r="L74" s="5">
        <v>0</v>
      </c>
      <c r="M74" s="5">
        <v>0</v>
      </c>
      <c r="N74" s="5">
        <v>54</v>
      </c>
      <c r="O74" s="5">
        <v>27</v>
      </c>
      <c r="P74" s="5">
        <v>8</v>
      </c>
      <c r="Q74" s="5">
        <v>2</v>
      </c>
      <c r="R74" s="5">
        <v>0</v>
      </c>
      <c r="S74" s="5">
        <v>0</v>
      </c>
      <c r="T74" s="5"/>
      <c r="U74" s="5"/>
      <c r="V74" s="5"/>
      <c r="W74" s="5"/>
      <c r="X74" s="5"/>
      <c r="Y74" s="5"/>
      <c r="Z74" s="5">
        <v>121</v>
      </c>
      <c r="AA74" s="5">
        <v>69</v>
      </c>
      <c r="AB74" s="5">
        <v>18</v>
      </c>
      <c r="AC74" s="5">
        <v>7</v>
      </c>
      <c r="AD74" s="5">
        <v>3</v>
      </c>
      <c r="AE74" s="5">
        <v>0</v>
      </c>
    </row>
    <row r="75" spans="1:31" ht="15.75" customHeight="1" x14ac:dyDescent="0.2">
      <c r="A75" s="12">
        <v>2021</v>
      </c>
      <c r="B75" s="5">
        <v>1</v>
      </c>
      <c r="C75" s="5">
        <v>1</v>
      </c>
      <c r="D75" s="5">
        <v>0</v>
      </c>
      <c r="E75" s="5">
        <v>0</v>
      </c>
      <c r="F75" s="5">
        <v>0</v>
      </c>
      <c r="G75" s="5">
        <v>0</v>
      </c>
      <c r="H75" s="5">
        <v>4</v>
      </c>
      <c r="I75" s="5">
        <v>6</v>
      </c>
      <c r="J75" s="5">
        <v>1</v>
      </c>
      <c r="K75" s="5">
        <v>1</v>
      </c>
      <c r="L75" s="5">
        <v>0</v>
      </c>
      <c r="M75" s="5">
        <v>0</v>
      </c>
      <c r="N75" s="5">
        <v>4</v>
      </c>
      <c r="O75" s="5">
        <v>8</v>
      </c>
      <c r="P75" s="5">
        <v>6</v>
      </c>
      <c r="Q75" s="5">
        <v>2</v>
      </c>
      <c r="R75" s="5">
        <v>2</v>
      </c>
      <c r="S75" s="5">
        <v>0</v>
      </c>
      <c r="T75" s="5"/>
      <c r="U75" s="5"/>
      <c r="V75" s="5"/>
      <c r="W75" s="5"/>
      <c r="X75" s="5"/>
      <c r="Y75" s="5"/>
      <c r="Z75" s="5">
        <v>9</v>
      </c>
      <c r="AA75" s="5">
        <v>15</v>
      </c>
      <c r="AB75" s="5">
        <v>7</v>
      </c>
      <c r="AC75" s="5">
        <v>3</v>
      </c>
      <c r="AD75" s="5">
        <v>2</v>
      </c>
      <c r="AE75" s="5">
        <v>0</v>
      </c>
    </row>
    <row r="76" spans="1:31" ht="15.75" customHeight="1" x14ac:dyDescent="0.2">
      <c r="A76" s="12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</row>
    <row r="77" spans="1:31" ht="15.75" customHeight="1" x14ac:dyDescent="0.2">
      <c r="A77" s="12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</row>
    <row r="78" spans="1:31" ht="15.75" customHeight="1" x14ac:dyDescent="0.2"/>
    <row r="79" spans="1:31" ht="15.75" customHeight="1" x14ac:dyDescent="0.2"/>
    <row r="80" spans="1:31" ht="15.75" customHeight="1" x14ac:dyDescent="0.2">
      <c r="A80" s="5" t="s">
        <v>35</v>
      </c>
      <c r="B80" s="5" t="s">
        <v>24</v>
      </c>
      <c r="C80" s="5" t="s">
        <v>25</v>
      </c>
      <c r="D80" s="5" t="s">
        <v>26</v>
      </c>
      <c r="E80" s="5"/>
      <c r="F80" s="5"/>
      <c r="G80" s="5"/>
    </row>
    <row r="81" spans="1:4" ht="15.75" customHeight="1" x14ac:dyDescent="0.2">
      <c r="A81" s="12">
        <v>2003</v>
      </c>
      <c r="B81" s="1">
        <f t="shared" ref="B81:B95" si="0">SUM(B61:G61)</f>
        <v>0</v>
      </c>
      <c r="C81" s="1">
        <f t="shared" ref="C81:C95" si="1">SUM(H61:M61)</f>
        <v>72</v>
      </c>
      <c r="D81" s="1">
        <f t="shared" ref="D81:D95" si="2">SUM(N61:S61)</f>
        <v>0</v>
      </c>
    </row>
    <row r="82" spans="1:4" ht="15.75" customHeight="1" x14ac:dyDescent="0.2">
      <c r="A82" s="12">
        <v>2005</v>
      </c>
      <c r="B82" s="5">
        <f t="shared" si="0"/>
        <v>0</v>
      </c>
      <c r="C82" s="5">
        <f t="shared" si="1"/>
        <v>24</v>
      </c>
      <c r="D82" s="5">
        <f t="shared" si="2"/>
        <v>0</v>
      </c>
    </row>
    <row r="83" spans="1:4" ht="15.75" customHeight="1" x14ac:dyDescent="0.2">
      <c r="A83" s="12">
        <v>2006</v>
      </c>
      <c r="B83" s="5">
        <f t="shared" si="0"/>
        <v>0</v>
      </c>
      <c r="C83" s="5">
        <f t="shared" si="1"/>
        <v>11</v>
      </c>
      <c r="D83" s="5">
        <f t="shared" si="2"/>
        <v>0</v>
      </c>
    </row>
    <row r="84" spans="1:4" ht="15.75" customHeight="1" x14ac:dyDescent="0.2">
      <c r="A84" s="12">
        <v>2007</v>
      </c>
      <c r="B84" s="5">
        <f t="shared" si="0"/>
        <v>0</v>
      </c>
      <c r="C84" s="5">
        <f t="shared" si="1"/>
        <v>106</v>
      </c>
      <c r="D84" s="5">
        <f t="shared" si="2"/>
        <v>0</v>
      </c>
    </row>
    <row r="85" spans="1:4" ht="15.75" customHeight="1" x14ac:dyDescent="0.2">
      <c r="A85" s="12">
        <v>2008</v>
      </c>
      <c r="B85" s="5">
        <f t="shared" si="0"/>
        <v>0</v>
      </c>
      <c r="C85" s="5">
        <f t="shared" si="1"/>
        <v>5</v>
      </c>
      <c r="D85" s="5">
        <f t="shared" si="2"/>
        <v>0</v>
      </c>
    </row>
    <row r="86" spans="1:4" ht="15.75" customHeight="1" x14ac:dyDescent="0.2">
      <c r="A86" s="12">
        <v>2011</v>
      </c>
      <c r="B86" s="5">
        <f t="shared" si="0"/>
        <v>0</v>
      </c>
      <c r="C86" s="5">
        <f t="shared" si="1"/>
        <v>17</v>
      </c>
      <c r="D86" s="5">
        <f t="shared" si="2"/>
        <v>0</v>
      </c>
    </row>
    <row r="87" spans="1:4" ht="15.75" customHeight="1" x14ac:dyDescent="0.2">
      <c r="A87" s="12">
        <v>2012</v>
      </c>
      <c r="B87" s="5">
        <f t="shared" si="0"/>
        <v>3</v>
      </c>
      <c r="C87" s="5">
        <f t="shared" si="1"/>
        <v>3</v>
      </c>
      <c r="D87" s="5">
        <f t="shared" si="2"/>
        <v>0</v>
      </c>
    </row>
    <row r="88" spans="1:4" ht="15.75" customHeight="1" x14ac:dyDescent="0.2">
      <c r="A88" s="12">
        <v>2013</v>
      </c>
      <c r="B88" s="5">
        <f t="shared" si="0"/>
        <v>0</v>
      </c>
      <c r="C88" s="5">
        <f t="shared" si="1"/>
        <v>3</v>
      </c>
      <c r="D88" s="5">
        <f t="shared" si="2"/>
        <v>1</v>
      </c>
    </row>
    <row r="89" spans="1:4" ht="15.75" customHeight="1" x14ac:dyDescent="0.2">
      <c r="A89" s="12">
        <v>2014</v>
      </c>
      <c r="B89" s="5">
        <f t="shared" si="0"/>
        <v>3</v>
      </c>
      <c r="C89" s="5">
        <f t="shared" si="1"/>
        <v>8</v>
      </c>
      <c r="D89" s="5">
        <f t="shared" si="2"/>
        <v>7</v>
      </c>
    </row>
    <row r="90" spans="1:4" ht="15.75" customHeight="1" x14ac:dyDescent="0.2">
      <c r="A90" s="12">
        <v>2015</v>
      </c>
      <c r="B90" s="5">
        <f t="shared" si="0"/>
        <v>7</v>
      </c>
      <c r="C90" s="5">
        <f t="shared" si="1"/>
        <v>10</v>
      </c>
      <c r="D90" s="5">
        <f t="shared" si="2"/>
        <v>37</v>
      </c>
    </row>
    <row r="91" spans="1:4" ht="15.75" customHeight="1" x14ac:dyDescent="0.2">
      <c r="A91" s="12">
        <v>2016</v>
      </c>
      <c r="B91" s="5">
        <f t="shared" si="0"/>
        <v>3</v>
      </c>
      <c r="C91" s="5">
        <f t="shared" si="1"/>
        <v>1</v>
      </c>
      <c r="D91" s="5">
        <f t="shared" si="2"/>
        <v>0</v>
      </c>
    </row>
    <row r="92" spans="1:4" ht="15.75" customHeight="1" x14ac:dyDescent="0.2">
      <c r="A92" s="12">
        <v>2017</v>
      </c>
      <c r="B92" s="5">
        <f t="shared" si="0"/>
        <v>30</v>
      </c>
      <c r="C92" s="5">
        <f t="shared" si="1"/>
        <v>60</v>
      </c>
      <c r="D92" s="5">
        <f t="shared" si="2"/>
        <v>45</v>
      </c>
    </row>
    <row r="93" spans="1:4" ht="15.75" customHeight="1" x14ac:dyDescent="0.2">
      <c r="A93" s="12">
        <v>2018</v>
      </c>
      <c r="B93" s="5">
        <f t="shared" si="0"/>
        <v>50</v>
      </c>
      <c r="C93" s="5">
        <f t="shared" si="1"/>
        <v>48</v>
      </c>
      <c r="D93" s="5">
        <f t="shared" si="2"/>
        <v>50</v>
      </c>
    </row>
    <row r="94" spans="1:4" ht="15.75" customHeight="1" x14ac:dyDescent="0.2">
      <c r="A94" s="12">
        <v>2019</v>
      </c>
      <c r="B94" s="5">
        <f t="shared" si="0"/>
        <v>62</v>
      </c>
      <c r="C94" s="5">
        <f t="shared" si="1"/>
        <v>65</v>
      </c>
      <c r="D94" s="5">
        <f t="shared" si="2"/>
        <v>91</v>
      </c>
    </row>
    <row r="95" spans="1:4" ht="15.75" customHeight="1" x14ac:dyDescent="0.2">
      <c r="A95" s="12">
        <v>2021</v>
      </c>
      <c r="B95" s="5">
        <f t="shared" si="0"/>
        <v>2</v>
      </c>
      <c r="C95" s="5">
        <f t="shared" si="1"/>
        <v>12</v>
      </c>
      <c r="D95" s="5">
        <f t="shared" si="2"/>
        <v>22</v>
      </c>
    </row>
    <row r="96" spans="1:4" ht="15.75" customHeight="1" x14ac:dyDescent="0.2">
      <c r="B96" s="5"/>
    </row>
    <row r="97" spans="2:2" ht="15.75" customHeight="1" x14ac:dyDescent="0.2">
      <c r="B97" s="5"/>
    </row>
    <row r="98" spans="2:2" ht="15.75" customHeight="1" x14ac:dyDescent="0.2"/>
    <row r="99" spans="2:2" ht="15.75" customHeight="1" x14ac:dyDescent="0.2"/>
    <row r="100" spans="2:2" ht="15.75" customHeight="1" x14ac:dyDescent="0.2"/>
    <row r="101" spans="2:2" ht="15.75" customHeight="1" x14ac:dyDescent="0.2"/>
    <row r="102" spans="2:2" ht="15.75" customHeight="1" x14ac:dyDescent="0.2"/>
    <row r="103" spans="2:2" ht="15.75" customHeight="1" x14ac:dyDescent="0.2"/>
    <row r="104" spans="2:2" ht="15.75" customHeight="1" x14ac:dyDescent="0.2"/>
    <row r="105" spans="2:2" ht="15.75" customHeight="1" x14ac:dyDescent="0.2"/>
    <row r="106" spans="2:2" ht="15.75" customHeight="1" x14ac:dyDescent="0.2"/>
    <row r="107" spans="2:2" ht="15.75" customHeight="1" x14ac:dyDescent="0.2"/>
    <row r="108" spans="2:2" ht="15.75" customHeight="1" x14ac:dyDescent="0.2"/>
    <row r="109" spans="2:2" ht="15.75" customHeight="1" x14ac:dyDescent="0.2"/>
    <row r="110" spans="2:2" ht="15.75" customHeight="1" x14ac:dyDescent="0.2"/>
    <row r="111" spans="2:2" ht="15.75" customHeight="1" x14ac:dyDescent="0.2"/>
    <row r="112" spans="2: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00"/>
  <sheetViews>
    <sheetView workbookViewId="0"/>
  </sheetViews>
  <sheetFormatPr baseColWidth="10" defaultColWidth="14.5" defaultRowHeight="15" customHeight="1" x14ac:dyDescent="0.2"/>
  <cols>
    <col min="1" max="1" width="8.6640625" customWidth="1"/>
    <col min="2" max="2" width="9.6640625" customWidth="1"/>
    <col min="3" max="13" width="8.6640625" customWidth="1"/>
    <col min="14" max="14" width="9.1640625" customWidth="1"/>
    <col min="15" max="19" width="8.6640625" customWidth="1"/>
    <col min="20" max="20" width="13.1640625" customWidth="1"/>
    <col min="21" max="21" width="11.5" customWidth="1"/>
    <col min="22" max="22" width="5" customWidth="1"/>
    <col min="23" max="23" width="13.1640625" customWidth="1"/>
    <col min="24" max="24" width="20.33203125" customWidth="1"/>
    <col min="25" max="28" width="5" customWidth="1"/>
    <col min="29" max="29" width="7.33203125" customWidth="1"/>
  </cols>
  <sheetData>
    <row r="1" spans="1:29" ht="64" x14ac:dyDescent="0.2">
      <c r="A1" s="5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36</v>
      </c>
      <c r="O1" s="3"/>
      <c r="P1" s="3" t="s">
        <v>14</v>
      </c>
      <c r="Q1" s="3" t="s">
        <v>15</v>
      </c>
      <c r="R1" s="4" t="s">
        <v>16</v>
      </c>
    </row>
    <row r="2" spans="1:29" x14ac:dyDescent="0.2">
      <c r="A2" s="5" t="s">
        <v>19</v>
      </c>
      <c r="B2" s="9">
        <v>41087</v>
      </c>
      <c r="C2" s="7">
        <v>2012</v>
      </c>
      <c r="D2" s="7">
        <v>57</v>
      </c>
      <c r="E2" s="7">
        <v>2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/>
      <c r="M2" s="7"/>
      <c r="N2" s="7">
        <f t="shared" ref="N2:N75" si="0">SUM(F2:J2)</f>
        <v>0</v>
      </c>
      <c r="O2" s="7"/>
      <c r="P2" s="5"/>
      <c r="Q2" s="5"/>
      <c r="R2" s="10">
        <v>41084</v>
      </c>
    </row>
    <row r="3" spans="1:29" x14ac:dyDescent="0.2">
      <c r="A3" s="5" t="s">
        <v>19</v>
      </c>
      <c r="B3" s="9">
        <v>41094</v>
      </c>
      <c r="C3" s="7">
        <v>2012</v>
      </c>
      <c r="D3" s="7">
        <v>133</v>
      </c>
      <c r="E3" s="7">
        <v>4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/>
      <c r="M3" s="7"/>
      <c r="N3" s="7">
        <f t="shared" si="0"/>
        <v>0</v>
      </c>
      <c r="O3" s="7"/>
      <c r="P3" s="5"/>
      <c r="Q3" s="5"/>
      <c r="R3" s="10">
        <v>41091</v>
      </c>
      <c r="T3" s="21" t="s">
        <v>2</v>
      </c>
      <c r="W3" s="13" t="s">
        <v>2</v>
      </c>
      <c r="X3" s="14" t="s">
        <v>37</v>
      </c>
    </row>
    <row r="4" spans="1:29" ht="16" x14ac:dyDescent="0.2">
      <c r="A4" s="5" t="s">
        <v>19</v>
      </c>
      <c r="B4" s="9">
        <v>41101</v>
      </c>
      <c r="C4" s="7">
        <v>2012</v>
      </c>
      <c r="D4" s="7">
        <v>103</v>
      </c>
      <c r="E4" s="7">
        <v>3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/>
      <c r="M4" s="7"/>
      <c r="N4" s="7">
        <f t="shared" si="0"/>
        <v>0</v>
      </c>
      <c r="O4" s="7"/>
      <c r="P4" s="5"/>
      <c r="Q4" s="5"/>
      <c r="R4" s="10">
        <v>41098</v>
      </c>
      <c r="T4" s="14">
        <v>2012</v>
      </c>
      <c r="W4" s="15">
        <v>2012</v>
      </c>
      <c r="X4" s="16">
        <v>3</v>
      </c>
      <c r="Z4" s="12">
        <v>2012</v>
      </c>
      <c r="AA4" s="5">
        <v>3</v>
      </c>
      <c r="AB4" s="1">
        <f>SUM(AA4:AA8)</f>
        <v>16</v>
      </c>
    </row>
    <row r="5" spans="1:29" ht="16" x14ac:dyDescent="0.2">
      <c r="A5" s="5" t="s">
        <v>19</v>
      </c>
      <c r="B5" s="9">
        <v>41108</v>
      </c>
      <c r="C5" s="7">
        <v>2012</v>
      </c>
      <c r="D5" s="7">
        <v>104</v>
      </c>
      <c r="E5" s="7">
        <v>6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/>
      <c r="M5" s="7"/>
      <c r="N5" s="7">
        <f t="shared" si="0"/>
        <v>0</v>
      </c>
      <c r="O5" s="7"/>
      <c r="P5" s="5"/>
      <c r="Q5" s="5"/>
      <c r="R5" s="10">
        <v>41105</v>
      </c>
      <c r="T5" s="22">
        <v>2013</v>
      </c>
      <c r="W5" s="17">
        <v>2013</v>
      </c>
      <c r="X5" s="18">
        <v>0</v>
      </c>
      <c r="Z5" s="12">
        <v>2013</v>
      </c>
      <c r="AA5" s="5">
        <v>0</v>
      </c>
      <c r="AC5" s="1">
        <f>(AB9-AB4)/AB4</f>
        <v>7.75</v>
      </c>
    </row>
    <row r="6" spans="1:29" x14ac:dyDescent="0.2">
      <c r="A6" s="5" t="s">
        <v>19</v>
      </c>
      <c r="B6" s="9">
        <v>41115</v>
      </c>
      <c r="C6" s="7">
        <v>2012</v>
      </c>
      <c r="D6" s="7">
        <v>111</v>
      </c>
      <c r="E6" s="7">
        <v>3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/>
      <c r="M6" s="7"/>
      <c r="N6" s="7">
        <f t="shared" si="0"/>
        <v>0</v>
      </c>
      <c r="O6" s="7"/>
      <c r="P6" s="5"/>
      <c r="Q6" s="5"/>
      <c r="R6" s="10">
        <v>41112</v>
      </c>
      <c r="T6" s="22">
        <v>2014</v>
      </c>
      <c r="W6" s="17">
        <v>2014</v>
      </c>
      <c r="X6" s="18">
        <v>3</v>
      </c>
      <c r="Z6" s="12">
        <v>2014</v>
      </c>
      <c r="AA6" s="5">
        <v>3</v>
      </c>
    </row>
    <row r="7" spans="1:29" x14ac:dyDescent="0.2">
      <c r="A7" s="5" t="s">
        <v>19</v>
      </c>
      <c r="B7" s="9">
        <v>41122</v>
      </c>
      <c r="C7" s="7">
        <v>2012</v>
      </c>
      <c r="D7" s="7">
        <v>117</v>
      </c>
      <c r="E7" s="7">
        <v>7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/>
      <c r="M7" s="7"/>
      <c r="N7" s="7">
        <f t="shared" si="0"/>
        <v>1</v>
      </c>
      <c r="O7" s="7"/>
      <c r="P7" s="5"/>
      <c r="Q7" s="5"/>
      <c r="R7" s="10">
        <v>41119</v>
      </c>
      <c r="T7" s="22">
        <v>2015</v>
      </c>
      <c r="W7" s="17">
        <v>2015</v>
      </c>
      <c r="X7" s="18">
        <v>7</v>
      </c>
      <c r="Z7" s="12">
        <v>2015</v>
      </c>
      <c r="AA7" s="5">
        <v>7</v>
      </c>
    </row>
    <row r="8" spans="1:29" x14ac:dyDescent="0.2">
      <c r="A8" s="5" t="s">
        <v>19</v>
      </c>
      <c r="B8" s="9">
        <v>41129</v>
      </c>
      <c r="C8" s="7">
        <v>2012</v>
      </c>
      <c r="D8" s="7">
        <v>106</v>
      </c>
      <c r="E8" s="7">
        <v>1</v>
      </c>
      <c r="F8" s="7">
        <v>1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/>
      <c r="M8" s="7"/>
      <c r="N8" s="7">
        <f t="shared" si="0"/>
        <v>1</v>
      </c>
      <c r="O8" s="7"/>
      <c r="P8" s="5"/>
      <c r="Q8" s="5"/>
      <c r="R8" s="10">
        <v>41126</v>
      </c>
      <c r="T8" s="22">
        <v>2016</v>
      </c>
      <c r="W8" s="17">
        <v>2016</v>
      </c>
      <c r="X8" s="18">
        <v>3</v>
      </c>
      <c r="Z8" s="12">
        <v>2016</v>
      </c>
      <c r="AA8" s="5">
        <v>3</v>
      </c>
    </row>
    <row r="9" spans="1:29" ht="16" x14ac:dyDescent="0.2">
      <c r="A9" s="5" t="s">
        <v>19</v>
      </c>
      <c r="B9" s="9">
        <v>41136</v>
      </c>
      <c r="C9" s="7">
        <v>2012</v>
      </c>
      <c r="D9" s="7">
        <v>110</v>
      </c>
      <c r="E9" s="7">
        <v>1</v>
      </c>
      <c r="F9" s="7">
        <v>0</v>
      </c>
      <c r="G9" s="7">
        <v>0</v>
      </c>
      <c r="H9" s="7">
        <v>1</v>
      </c>
      <c r="I9" s="7">
        <v>0</v>
      </c>
      <c r="J9" s="7">
        <v>0</v>
      </c>
      <c r="K9" s="7">
        <v>0</v>
      </c>
      <c r="L9" s="7"/>
      <c r="M9" s="7"/>
      <c r="N9" s="7">
        <f t="shared" si="0"/>
        <v>1</v>
      </c>
      <c r="O9" s="7"/>
      <c r="P9" s="5"/>
      <c r="Q9" s="5"/>
      <c r="R9" s="10">
        <v>41133</v>
      </c>
      <c r="T9" s="22">
        <v>2017</v>
      </c>
      <c r="W9" s="17">
        <v>2017</v>
      </c>
      <c r="X9" s="18">
        <v>28</v>
      </c>
      <c r="Z9" s="12">
        <v>2017</v>
      </c>
      <c r="AA9" s="5">
        <v>28</v>
      </c>
      <c r="AB9" s="1">
        <f>SUM(AA9:AA11)</f>
        <v>140</v>
      </c>
    </row>
    <row r="10" spans="1:29" x14ac:dyDescent="0.2">
      <c r="A10" s="5" t="s">
        <v>19</v>
      </c>
      <c r="B10" s="9">
        <v>41143</v>
      </c>
      <c r="C10" s="7">
        <v>2012</v>
      </c>
      <c r="D10" s="7">
        <v>108</v>
      </c>
      <c r="E10" s="7">
        <v>5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/>
      <c r="M10" s="7"/>
      <c r="N10" s="7">
        <f t="shared" si="0"/>
        <v>0</v>
      </c>
      <c r="O10" s="7"/>
      <c r="P10" s="5"/>
      <c r="Q10" s="5"/>
      <c r="R10" s="10">
        <v>41140</v>
      </c>
      <c r="T10" s="22">
        <v>2018</v>
      </c>
      <c r="W10" s="17">
        <v>2018</v>
      </c>
      <c r="X10" s="18">
        <v>50</v>
      </c>
      <c r="Z10" s="12">
        <v>2018</v>
      </c>
      <c r="AA10" s="5">
        <v>50</v>
      </c>
    </row>
    <row r="11" spans="1:29" x14ac:dyDescent="0.2">
      <c r="A11" s="5" t="s">
        <v>19</v>
      </c>
      <c r="B11" s="9">
        <v>41465</v>
      </c>
      <c r="C11" s="7">
        <v>2013</v>
      </c>
      <c r="D11" s="7">
        <v>106</v>
      </c>
      <c r="E11" s="7">
        <v>1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/>
      <c r="M11" s="7"/>
      <c r="N11" s="7">
        <f t="shared" si="0"/>
        <v>0</v>
      </c>
      <c r="O11" s="7"/>
      <c r="P11" s="5"/>
      <c r="Q11" s="5"/>
      <c r="R11" s="10">
        <v>41462</v>
      </c>
      <c r="T11" s="22">
        <v>2019</v>
      </c>
      <c r="W11" s="17">
        <v>2019</v>
      </c>
      <c r="X11" s="18">
        <v>62</v>
      </c>
      <c r="Z11" s="12">
        <v>2019</v>
      </c>
      <c r="AA11" s="5">
        <v>62</v>
      </c>
    </row>
    <row r="12" spans="1:29" x14ac:dyDescent="0.2">
      <c r="A12" s="5" t="s">
        <v>19</v>
      </c>
      <c r="B12" s="9">
        <v>41472</v>
      </c>
      <c r="C12" s="7">
        <v>2013</v>
      </c>
      <c r="D12" s="7">
        <v>126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/>
      <c r="M12" s="7"/>
      <c r="N12" s="7">
        <f t="shared" si="0"/>
        <v>0</v>
      </c>
      <c r="O12" s="7"/>
      <c r="P12" s="5"/>
      <c r="Q12" s="5"/>
      <c r="R12" s="10">
        <v>41469</v>
      </c>
      <c r="T12" s="23" t="s">
        <v>21</v>
      </c>
      <c r="W12" s="19" t="s">
        <v>21</v>
      </c>
      <c r="X12" s="20">
        <v>156</v>
      </c>
    </row>
    <row r="13" spans="1:29" x14ac:dyDescent="0.2">
      <c r="A13" s="5" t="s">
        <v>19</v>
      </c>
      <c r="B13" s="9">
        <v>41479</v>
      </c>
      <c r="C13" s="7">
        <v>2013</v>
      </c>
      <c r="D13" s="7">
        <v>109</v>
      </c>
      <c r="E13" s="7">
        <v>9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/>
      <c r="M13" s="7"/>
      <c r="N13" s="7">
        <f t="shared" si="0"/>
        <v>0</v>
      </c>
      <c r="O13" s="7"/>
      <c r="P13" s="5"/>
      <c r="Q13" s="5"/>
      <c r="R13" s="10">
        <v>41476</v>
      </c>
      <c r="T13" s="12"/>
      <c r="W13" s="12"/>
      <c r="X13" s="5"/>
    </row>
    <row r="14" spans="1:29" x14ac:dyDescent="0.2">
      <c r="A14" s="5" t="s">
        <v>19</v>
      </c>
      <c r="B14" s="9">
        <v>41486</v>
      </c>
      <c r="C14" s="7">
        <v>2013</v>
      </c>
      <c r="D14" s="7">
        <v>95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/>
      <c r="M14" s="7"/>
      <c r="N14" s="7">
        <f t="shared" si="0"/>
        <v>0</v>
      </c>
      <c r="O14" s="7"/>
      <c r="P14" s="5"/>
      <c r="Q14" s="5"/>
      <c r="R14" s="10">
        <v>41483</v>
      </c>
    </row>
    <row r="15" spans="1:29" x14ac:dyDescent="0.2">
      <c r="A15" s="5" t="s">
        <v>19</v>
      </c>
      <c r="B15" s="9">
        <v>41493</v>
      </c>
      <c r="C15" s="7">
        <v>2013</v>
      </c>
      <c r="D15" s="7">
        <v>103</v>
      </c>
      <c r="E15" s="7">
        <v>3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/>
      <c r="M15" s="7"/>
      <c r="N15" s="7">
        <f t="shared" si="0"/>
        <v>0</v>
      </c>
      <c r="O15" s="7"/>
      <c r="P15" s="5"/>
      <c r="Q15" s="5"/>
      <c r="R15" s="10">
        <v>41490</v>
      </c>
    </row>
    <row r="16" spans="1:29" x14ac:dyDescent="0.2">
      <c r="A16" s="5" t="s">
        <v>19</v>
      </c>
      <c r="B16" s="9">
        <v>41500</v>
      </c>
      <c r="C16" s="7">
        <v>2013</v>
      </c>
      <c r="D16" s="7">
        <v>103</v>
      </c>
      <c r="E16" s="7">
        <v>4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/>
      <c r="M16" s="7"/>
      <c r="N16" s="7">
        <f t="shared" si="0"/>
        <v>0</v>
      </c>
      <c r="O16" s="7"/>
      <c r="P16" s="5"/>
      <c r="Q16" s="5"/>
      <c r="R16" s="10">
        <v>41497</v>
      </c>
    </row>
    <row r="17" spans="1:24" ht="16" x14ac:dyDescent="0.2">
      <c r="A17" s="5" t="s">
        <v>19</v>
      </c>
      <c r="B17" s="9">
        <v>41505</v>
      </c>
      <c r="C17" s="7">
        <v>2013</v>
      </c>
      <c r="D17" s="7">
        <v>23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/>
      <c r="M17" s="7"/>
      <c r="N17" s="7">
        <f t="shared" si="0"/>
        <v>0</v>
      </c>
      <c r="O17" s="7"/>
      <c r="P17" s="5"/>
      <c r="Q17" s="5"/>
      <c r="R17" s="10">
        <v>41504</v>
      </c>
      <c r="T17" s="1" t="s">
        <v>38</v>
      </c>
    </row>
    <row r="18" spans="1:24" ht="16" x14ac:dyDescent="0.2">
      <c r="A18" s="5" t="s">
        <v>19</v>
      </c>
      <c r="B18" s="9">
        <v>41512</v>
      </c>
      <c r="C18" s="7">
        <v>2013</v>
      </c>
      <c r="D18" s="7">
        <v>100</v>
      </c>
      <c r="E18" s="7">
        <v>1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/>
      <c r="M18" s="7"/>
      <c r="N18" s="7">
        <f t="shared" si="0"/>
        <v>0</v>
      </c>
      <c r="O18" s="7"/>
      <c r="P18" s="5"/>
      <c r="Q18" s="5"/>
      <c r="R18" s="10">
        <v>41511</v>
      </c>
      <c r="T18" s="12">
        <v>2012</v>
      </c>
      <c r="U18" s="5">
        <v>32</v>
      </c>
      <c r="V18" s="5">
        <f>SUM(U18:U22)</f>
        <v>186</v>
      </c>
      <c r="W18" s="1" t="s">
        <v>39</v>
      </c>
      <c r="X18" s="1">
        <v>186</v>
      </c>
    </row>
    <row r="19" spans="1:24" ht="16" x14ac:dyDescent="0.2">
      <c r="A19" s="5" t="s">
        <v>19</v>
      </c>
      <c r="B19" s="9">
        <v>41822</v>
      </c>
      <c r="C19" s="7">
        <v>2014</v>
      </c>
      <c r="D19" s="7">
        <v>70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/>
      <c r="M19" s="7"/>
      <c r="N19" s="7">
        <f t="shared" si="0"/>
        <v>0</v>
      </c>
      <c r="O19" s="7"/>
      <c r="P19" s="5"/>
      <c r="Q19" s="5"/>
      <c r="R19" s="10">
        <v>41819</v>
      </c>
      <c r="T19" s="12">
        <v>2013</v>
      </c>
      <c r="U19" s="5">
        <v>18</v>
      </c>
      <c r="W19" s="1">
        <f>(X23-X18)/X18</f>
        <v>2.5376344086021505</v>
      </c>
    </row>
    <row r="20" spans="1:24" ht="16" x14ac:dyDescent="0.2">
      <c r="A20" s="5" t="s">
        <v>19</v>
      </c>
      <c r="B20" s="9">
        <v>41828</v>
      </c>
      <c r="C20" s="7">
        <v>2014</v>
      </c>
      <c r="D20" s="7">
        <v>78</v>
      </c>
      <c r="E20" s="7">
        <v>10</v>
      </c>
      <c r="F20" s="7">
        <v>0</v>
      </c>
      <c r="G20" s="7">
        <v>0</v>
      </c>
      <c r="H20" s="7">
        <v>2</v>
      </c>
      <c r="I20" s="7">
        <v>0</v>
      </c>
      <c r="J20" s="7">
        <v>0</v>
      </c>
      <c r="K20" s="7">
        <v>0</v>
      </c>
      <c r="L20" s="7"/>
      <c r="M20" s="7"/>
      <c r="N20" s="7">
        <f t="shared" si="0"/>
        <v>2</v>
      </c>
      <c r="O20" s="7"/>
      <c r="P20" s="5"/>
      <c r="Q20" s="5"/>
      <c r="R20" s="10">
        <v>41826</v>
      </c>
      <c r="T20" s="12">
        <v>2014</v>
      </c>
      <c r="U20" s="5">
        <v>18</v>
      </c>
      <c r="W20" s="1">
        <f>SUM(V18:V23)</f>
        <v>844</v>
      </c>
    </row>
    <row r="21" spans="1:24" ht="15.75" customHeight="1" x14ac:dyDescent="0.2">
      <c r="A21" s="5" t="s">
        <v>19</v>
      </c>
      <c r="B21" s="9">
        <v>41830</v>
      </c>
      <c r="C21" s="7">
        <v>2014</v>
      </c>
      <c r="D21" s="7">
        <v>104</v>
      </c>
      <c r="E21" s="7">
        <v>5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/>
      <c r="M21" s="7"/>
      <c r="N21" s="7">
        <f t="shared" si="0"/>
        <v>0</v>
      </c>
      <c r="O21" s="7"/>
      <c r="P21" s="5"/>
      <c r="Q21" s="5"/>
      <c r="R21" s="10">
        <v>41826</v>
      </c>
      <c r="T21" s="12">
        <v>2015</v>
      </c>
      <c r="U21" s="5">
        <v>99</v>
      </c>
    </row>
    <row r="22" spans="1:24" ht="15.75" customHeight="1" x14ac:dyDescent="0.2">
      <c r="A22" s="5" t="s">
        <v>19</v>
      </c>
      <c r="B22" s="9">
        <v>41843</v>
      </c>
      <c r="C22" s="7">
        <v>2014</v>
      </c>
      <c r="D22" s="7">
        <v>100</v>
      </c>
      <c r="E22" s="7">
        <v>0</v>
      </c>
      <c r="F22" s="7">
        <v>0</v>
      </c>
      <c r="G22" s="7">
        <v>0</v>
      </c>
      <c r="H22" s="7">
        <v>1</v>
      </c>
      <c r="I22" s="7">
        <v>0</v>
      </c>
      <c r="J22" s="7">
        <v>0</v>
      </c>
      <c r="K22" s="7">
        <v>0</v>
      </c>
      <c r="L22" s="7"/>
      <c r="M22" s="7"/>
      <c r="N22" s="7">
        <f t="shared" si="0"/>
        <v>1</v>
      </c>
      <c r="O22" s="7"/>
      <c r="P22" s="5"/>
      <c r="Q22" s="5"/>
      <c r="R22" s="10">
        <v>41840</v>
      </c>
      <c r="T22" s="12">
        <v>2016</v>
      </c>
      <c r="U22" s="5">
        <v>19</v>
      </c>
    </row>
    <row r="23" spans="1:24" ht="15.75" customHeight="1" x14ac:dyDescent="0.2">
      <c r="A23" s="5" t="s">
        <v>19</v>
      </c>
      <c r="B23" s="9">
        <v>41850</v>
      </c>
      <c r="C23" s="7">
        <v>2014</v>
      </c>
      <c r="D23" s="7">
        <v>104</v>
      </c>
      <c r="E23" s="7">
        <v>1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/>
      <c r="M23" s="7"/>
      <c r="N23" s="7">
        <f t="shared" si="0"/>
        <v>0</v>
      </c>
      <c r="O23" s="7"/>
      <c r="P23" s="5"/>
      <c r="Q23" s="5"/>
      <c r="R23" s="10">
        <v>41847</v>
      </c>
      <c r="T23" s="12">
        <v>2017</v>
      </c>
      <c r="U23" s="5">
        <v>182</v>
      </c>
      <c r="V23" s="1">
        <f>SUM(U23:U25)</f>
        <v>658</v>
      </c>
      <c r="X23" s="1">
        <v>658</v>
      </c>
    </row>
    <row r="24" spans="1:24" ht="15.75" customHeight="1" x14ac:dyDescent="0.2">
      <c r="A24" s="5" t="s">
        <v>19</v>
      </c>
      <c r="B24" s="9">
        <v>41855</v>
      </c>
      <c r="C24" s="7">
        <v>2014</v>
      </c>
      <c r="D24" s="7">
        <v>100</v>
      </c>
      <c r="E24" s="7">
        <v>2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/>
      <c r="M24" s="7"/>
      <c r="N24" s="7">
        <f t="shared" si="0"/>
        <v>0</v>
      </c>
      <c r="O24" s="7"/>
      <c r="P24" s="5"/>
      <c r="Q24" s="5"/>
      <c r="R24" s="10">
        <v>41854</v>
      </c>
      <c r="T24" s="12">
        <v>2018</v>
      </c>
      <c r="U24" s="5">
        <v>187</v>
      </c>
    </row>
    <row r="25" spans="1:24" ht="15.75" customHeight="1" x14ac:dyDescent="0.2">
      <c r="A25" s="5" t="s">
        <v>19</v>
      </c>
      <c r="B25" s="9">
        <v>41864</v>
      </c>
      <c r="C25" s="7">
        <v>2014</v>
      </c>
      <c r="D25" s="7">
        <v>100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/>
      <c r="M25" s="7"/>
      <c r="N25" s="7">
        <f t="shared" si="0"/>
        <v>0</v>
      </c>
      <c r="O25" s="7"/>
      <c r="P25" s="5"/>
      <c r="Q25" s="5"/>
      <c r="R25" s="10">
        <v>41861</v>
      </c>
      <c r="T25" s="12">
        <v>2019</v>
      </c>
      <c r="U25" s="5">
        <v>289</v>
      </c>
    </row>
    <row r="26" spans="1:24" ht="15.75" customHeight="1" x14ac:dyDescent="0.2">
      <c r="A26" s="5" t="s">
        <v>19</v>
      </c>
      <c r="B26" s="9">
        <v>41887</v>
      </c>
      <c r="C26" s="7">
        <v>2014</v>
      </c>
      <c r="D26" s="7">
        <v>103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/>
      <c r="M26" s="7"/>
      <c r="N26" s="7">
        <f t="shared" si="0"/>
        <v>0</v>
      </c>
      <c r="O26" s="7"/>
      <c r="P26" s="5"/>
      <c r="Q26" s="5"/>
      <c r="R26" s="10">
        <v>41882</v>
      </c>
    </row>
    <row r="27" spans="1:24" ht="15.75" customHeight="1" x14ac:dyDescent="0.2">
      <c r="A27" s="5" t="s">
        <v>19</v>
      </c>
      <c r="B27" s="9">
        <v>42178</v>
      </c>
      <c r="C27" s="7">
        <v>2015</v>
      </c>
      <c r="D27" s="7">
        <v>107</v>
      </c>
      <c r="E27" s="7">
        <v>0</v>
      </c>
      <c r="F27" s="7">
        <v>0</v>
      </c>
      <c r="G27" s="7">
        <v>2</v>
      </c>
      <c r="H27" s="7">
        <v>0</v>
      </c>
      <c r="I27" s="7">
        <v>0</v>
      </c>
      <c r="J27" s="7">
        <v>0</v>
      </c>
      <c r="K27" s="7">
        <v>0</v>
      </c>
      <c r="L27" s="7"/>
      <c r="M27" s="7"/>
      <c r="N27" s="7">
        <f t="shared" si="0"/>
        <v>2</v>
      </c>
      <c r="O27" s="7"/>
      <c r="P27" s="5"/>
      <c r="Q27" s="5"/>
      <c r="R27" s="10">
        <v>42176</v>
      </c>
    </row>
    <row r="28" spans="1:24" ht="15.75" customHeight="1" x14ac:dyDescent="0.2">
      <c r="A28" s="5" t="s">
        <v>19</v>
      </c>
      <c r="B28" s="9">
        <v>42185</v>
      </c>
      <c r="C28" s="7">
        <v>2015</v>
      </c>
      <c r="D28" s="7">
        <v>103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/>
      <c r="M28" s="7"/>
      <c r="N28" s="7">
        <f t="shared" si="0"/>
        <v>0</v>
      </c>
      <c r="O28" s="7"/>
      <c r="P28" s="5"/>
      <c r="Q28" s="5"/>
      <c r="R28" s="10">
        <v>42183</v>
      </c>
    </row>
    <row r="29" spans="1:24" ht="15.75" customHeight="1" x14ac:dyDescent="0.2">
      <c r="A29" s="5" t="s">
        <v>19</v>
      </c>
      <c r="B29" s="9">
        <v>42192</v>
      </c>
      <c r="C29" s="7">
        <v>2015</v>
      </c>
      <c r="D29" s="7">
        <v>116</v>
      </c>
      <c r="E29" s="7">
        <v>7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/>
      <c r="M29" s="7"/>
      <c r="N29" s="7">
        <f t="shared" si="0"/>
        <v>0</v>
      </c>
      <c r="O29" s="7"/>
      <c r="P29" s="5"/>
      <c r="Q29" s="5"/>
      <c r="R29" s="10">
        <v>42190</v>
      </c>
    </row>
    <row r="30" spans="1:24" ht="15.75" customHeight="1" x14ac:dyDescent="0.2">
      <c r="A30" s="5" t="s">
        <v>19</v>
      </c>
      <c r="B30" s="9">
        <v>42199</v>
      </c>
      <c r="C30" s="7">
        <v>2015</v>
      </c>
      <c r="D30" s="7">
        <v>102</v>
      </c>
      <c r="E30" s="7">
        <v>14</v>
      </c>
      <c r="F30" s="7">
        <v>0</v>
      </c>
      <c r="G30" s="7">
        <v>1</v>
      </c>
      <c r="H30" s="7">
        <v>0</v>
      </c>
      <c r="I30" s="7">
        <v>0</v>
      </c>
      <c r="J30" s="7">
        <v>0</v>
      </c>
      <c r="K30" s="7">
        <v>0</v>
      </c>
      <c r="L30" s="7"/>
      <c r="M30" s="7"/>
      <c r="N30" s="7">
        <f t="shared" si="0"/>
        <v>1</v>
      </c>
      <c r="O30" s="7"/>
      <c r="P30" s="5"/>
      <c r="Q30" s="5"/>
      <c r="R30" s="10">
        <v>42197</v>
      </c>
    </row>
    <row r="31" spans="1:24" ht="15.75" customHeight="1" x14ac:dyDescent="0.2">
      <c r="A31" s="5" t="s">
        <v>19</v>
      </c>
      <c r="B31" s="9">
        <v>42206</v>
      </c>
      <c r="C31" s="7">
        <v>2015</v>
      </c>
      <c r="D31" s="7">
        <v>100</v>
      </c>
      <c r="E31" s="7">
        <v>22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/>
      <c r="M31" s="7"/>
      <c r="N31" s="7">
        <f t="shared" si="0"/>
        <v>0</v>
      </c>
      <c r="O31" s="7"/>
      <c r="P31" s="5"/>
      <c r="Q31" s="5"/>
      <c r="R31" s="10">
        <v>42204</v>
      </c>
    </row>
    <row r="32" spans="1:24" ht="15.75" customHeight="1" x14ac:dyDescent="0.2">
      <c r="A32" s="5" t="s">
        <v>19</v>
      </c>
      <c r="B32" s="9">
        <v>42213</v>
      </c>
      <c r="C32" s="7">
        <v>2015</v>
      </c>
      <c r="D32" s="7">
        <v>105</v>
      </c>
      <c r="E32" s="7">
        <v>7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/>
      <c r="M32" s="7"/>
      <c r="N32" s="7">
        <f t="shared" si="0"/>
        <v>0</v>
      </c>
      <c r="O32" s="7"/>
      <c r="P32" s="5"/>
      <c r="Q32" s="5"/>
      <c r="R32" s="10">
        <v>42211</v>
      </c>
    </row>
    <row r="33" spans="1:18" ht="15.75" customHeight="1" x14ac:dyDescent="0.2">
      <c r="A33" s="5" t="s">
        <v>19</v>
      </c>
      <c r="B33" s="9">
        <v>42220</v>
      </c>
      <c r="C33" s="7">
        <v>2015</v>
      </c>
      <c r="D33" s="7">
        <v>130</v>
      </c>
      <c r="E33" s="7">
        <v>36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/>
      <c r="M33" s="7"/>
      <c r="N33" s="7">
        <f t="shared" si="0"/>
        <v>1</v>
      </c>
      <c r="O33" s="7"/>
      <c r="P33" s="5"/>
      <c r="Q33" s="5"/>
      <c r="R33" s="10">
        <v>42218</v>
      </c>
    </row>
    <row r="34" spans="1:18" ht="15.75" customHeight="1" x14ac:dyDescent="0.2">
      <c r="A34" s="5" t="s">
        <v>19</v>
      </c>
      <c r="B34" s="9">
        <v>42227</v>
      </c>
      <c r="C34" s="7">
        <v>2015</v>
      </c>
      <c r="D34" s="7">
        <v>107</v>
      </c>
      <c r="E34" s="7">
        <v>8</v>
      </c>
      <c r="F34" s="7">
        <v>2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/>
      <c r="M34" s="7"/>
      <c r="N34" s="7">
        <f t="shared" si="0"/>
        <v>2</v>
      </c>
      <c r="O34" s="7"/>
      <c r="P34" s="5"/>
      <c r="Q34" s="5"/>
      <c r="R34" s="10">
        <v>42225</v>
      </c>
    </row>
    <row r="35" spans="1:18" ht="15.75" customHeight="1" x14ac:dyDescent="0.2">
      <c r="A35" s="5" t="s">
        <v>19</v>
      </c>
      <c r="B35" s="9">
        <v>42236</v>
      </c>
      <c r="C35" s="7">
        <v>2015</v>
      </c>
      <c r="D35" s="7">
        <v>100</v>
      </c>
      <c r="E35" s="7">
        <v>2</v>
      </c>
      <c r="F35" s="7">
        <v>1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/>
      <c r="M35" s="7"/>
      <c r="N35" s="7">
        <f t="shared" si="0"/>
        <v>1</v>
      </c>
      <c r="O35" s="7"/>
      <c r="P35" s="5"/>
      <c r="Q35" s="5"/>
      <c r="R35" s="10">
        <v>42232</v>
      </c>
    </row>
    <row r="36" spans="1:18" ht="15.75" customHeight="1" x14ac:dyDescent="0.2">
      <c r="A36" s="5" t="s">
        <v>19</v>
      </c>
      <c r="B36" s="9">
        <v>42241</v>
      </c>
      <c r="C36" s="7">
        <v>2015</v>
      </c>
      <c r="D36" s="7">
        <v>103</v>
      </c>
      <c r="E36" s="7">
        <v>1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/>
      <c r="M36" s="7"/>
      <c r="N36" s="7">
        <f t="shared" si="0"/>
        <v>0</v>
      </c>
      <c r="O36" s="7"/>
      <c r="P36" s="5"/>
      <c r="Q36" s="5"/>
      <c r="R36" s="10">
        <v>42239</v>
      </c>
    </row>
    <row r="37" spans="1:18" ht="15.75" customHeight="1" x14ac:dyDescent="0.2">
      <c r="A37" s="5" t="s">
        <v>19</v>
      </c>
      <c r="B37" s="9">
        <v>42248</v>
      </c>
      <c r="C37" s="7">
        <v>2015</v>
      </c>
      <c r="D37" s="7">
        <v>100</v>
      </c>
      <c r="E37" s="7">
        <v>2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/>
      <c r="M37" s="7"/>
      <c r="N37" s="7">
        <f t="shared" si="0"/>
        <v>0</v>
      </c>
      <c r="O37" s="7"/>
      <c r="P37" s="5"/>
      <c r="Q37" s="5"/>
      <c r="R37" s="10">
        <v>42246</v>
      </c>
    </row>
    <row r="38" spans="1:18" ht="15.75" customHeight="1" x14ac:dyDescent="0.2">
      <c r="A38" s="5" t="s">
        <v>19</v>
      </c>
      <c r="B38" s="9">
        <v>42542</v>
      </c>
      <c r="C38" s="7">
        <v>2016</v>
      </c>
      <c r="D38" s="7">
        <v>101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/>
      <c r="M38" s="7"/>
      <c r="N38" s="7">
        <f t="shared" si="0"/>
        <v>0</v>
      </c>
      <c r="O38" s="7"/>
      <c r="P38" s="5"/>
      <c r="Q38" s="5"/>
      <c r="R38" s="10">
        <v>42540</v>
      </c>
    </row>
    <row r="39" spans="1:18" ht="15.75" customHeight="1" x14ac:dyDescent="0.2">
      <c r="A39" s="5" t="s">
        <v>19</v>
      </c>
      <c r="B39" s="9">
        <v>42549</v>
      </c>
      <c r="C39" s="7">
        <v>2016</v>
      </c>
      <c r="D39" s="7">
        <v>100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/>
      <c r="M39" s="7"/>
      <c r="N39" s="7">
        <f t="shared" si="0"/>
        <v>0</v>
      </c>
      <c r="O39" s="7"/>
      <c r="P39" s="5"/>
      <c r="Q39" s="5"/>
      <c r="R39" s="10">
        <v>42547</v>
      </c>
    </row>
    <row r="40" spans="1:18" ht="15.75" customHeight="1" x14ac:dyDescent="0.2">
      <c r="A40" s="5" t="s">
        <v>19</v>
      </c>
      <c r="B40" s="9">
        <v>42556</v>
      </c>
      <c r="C40" s="7">
        <v>2016</v>
      </c>
      <c r="D40" s="7">
        <v>106</v>
      </c>
      <c r="E40" s="7">
        <v>2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/>
      <c r="M40" s="7"/>
      <c r="N40" s="7">
        <f t="shared" si="0"/>
        <v>0</v>
      </c>
      <c r="O40" s="7"/>
      <c r="P40" s="5"/>
      <c r="Q40" s="5"/>
      <c r="R40" s="10">
        <v>42554</v>
      </c>
    </row>
    <row r="41" spans="1:18" ht="15.75" customHeight="1" x14ac:dyDescent="0.2">
      <c r="A41" s="5" t="s">
        <v>19</v>
      </c>
      <c r="B41" s="9">
        <v>42563</v>
      </c>
      <c r="C41" s="7">
        <v>2016</v>
      </c>
      <c r="D41" s="7">
        <v>100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/>
      <c r="M41" s="7"/>
      <c r="N41" s="7">
        <f t="shared" si="0"/>
        <v>0</v>
      </c>
      <c r="O41" s="7"/>
      <c r="P41" s="5"/>
      <c r="Q41" s="5"/>
      <c r="R41" s="10">
        <v>42561</v>
      </c>
    </row>
    <row r="42" spans="1:18" ht="15.75" customHeight="1" x14ac:dyDescent="0.2">
      <c r="A42" s="5" t="s">
        <v>19</v>
      </c>
      <c r="B42" s="9">
        <v>42570</v>
      </c>
      <c r="C42" s="7">
        <v>2016</v>
      </c>
      <c r="D42" s="7">
        <v>100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/>
      <c r="M42" s="7"/>
      <c r="N42" s="7">
        <f t="shared" si="0"/>
        <v>0</v>
      </c>
      <c r="O42" s="7"/>
      <c r="P42" s="5"/>
      <c r="Q42" s="5"/>
      <c r="R42" s="10">
        <v>42568</v>
      </c>
    </row>
    <row r="43" spans="1:18" ht="15.75" customHeight="1" x14ac:dyDescent="0.2">
      <c r="A43" s="5" t="s">
        <v>19</v>
      </c>
      <c r="B43" s="9">
        <v>42578</v>
      </c>
      <c r="C43" s="7">
        <v>2016</v>
      </c>
      <c r="D43" s="7">
        <v>105</v>
      </c>
      <c r="E43" s="7">
        <v>6</v>
      </c>
      <c r="F43" s="7">
        <v>1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/>
      <c r="M43" s="7"/>
      <c r="N43" s="7">
        <f t="shared" si="0"/>
        <v>1</v>
      </c>
      <c r="O43" s="7"/>
      <c r="P43" s="5"/>
      <c r="Q43" s="5"/>
      <c r="R43" s="10">
        <v>42575</v>
      </c>
    </row>
    <row r="44" spans="1:18" ht="15.75" customHeight="1" x14ac:dyDescent="0.2">
      <c r="A44" s="5" t="s">
        <v>19</v>
      </c>
      <c r="B44" s="9">
        <v>42584</v>
      </c>
      <c r="C44" s="7">
        <v>2016</v>
      </c>
      <c r="D44" s="7">
        <v>100</v>
      </c>
      <c r="E44" s="7">
        <v>0</v>
      </c>
      <c r="F44" s="7">
        <v>1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/>
      <c r="M44" s="7"/>
      <c r="N44" s="7">
        <f t="shared" si="0"/>
        <v>1</v>
      </c>
      <c r="O44" s="7"/>
      <c r="P44" s="5"/>
      <c r="Q44" s="5"/>
      <c r="R44" s="10">
        <v>42582</v>
      </c>
    </row>
    <row r="45" spans="1:18" ht="15.75" customHeight="1" x14ac:dyDescent="0.2">
      <c r="A45" s="5" t="s">
        <v>19</v>
      </c>
      <c r="B45" s="9">
        <v>42591</v>
      </c>
      <c r="C45" s="7">
        <v>2016</v>
      </c>
      <c r="D45" s="7">
        <v>112</v>
      </c>
      <c r="E45" s="7">
        <v>1</v>
      </c>
      <c r="F45" s="7">
        <v>0</v>
      </c>
      <c r="G45" s="7">
        <v>0</v>
      </c>
      <c r="H45" s="7">
        <v>0</v>
      </c>
      <c r="I45" s="7">
        <v>0</v>
      </c>
      <c r="J45" s="7">
        <v>1</v>
      </c>
      <c r="K45" s="7">
        <v>0</v>
      </c>
      <c r="L45" s="7"/>
      <c r="M45" s="7"/>
      <c r="N45" s="7">
        <f t="shared" si="0"/>
        <v>1</v>
      </c>
      <c r="O45" s="7"/>
      <c r="P45" s="5"/>
      <c r="Q45" s="5"/>
      <c r="R45" s="10">
        <v>42589</v>
      </c>
    </row>
    <row r="46" spans="1:18" ht="15.75" customHeight="1" x14ac:dyDescent="0.2">
      <c r="A46" s="5" t="s">
        <v>19</v>
      </c>
      <c r="B46" s="9">
        <v>42598</v>
      </c>
      <c r="C46" s="7">
        <v>2016</v>
      </c>
      <c r="D46" s="7">
        <v>100</v>
      </c>
      <c r="E46" s="7">
        <v>10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/>
      <c r="M46" s="7"/>
      <c r="N46" s="7">
        <f t="shared" si="0"/>
        <v>0</v>
      </c>
      <c r="O46" s="7"/>
      <c r="P46" s="5"/>
      <c r="Q46" s="5"/>
      <c r="R46" s="10">
        <v>42596</v>
      </c>
    </row>
    <row r="47" spans="1:18" ht="15.75" customHeight="1" x14ac:dyDescent="0.2">
      <c r="A47" s="5" t="s">
        <v>19</v>
      </c>
      <c r="B47" s="9">
        <v>42892</v>
      </c>
      <c r="C47" s="7">
        <v>2017</v>
      </c>
      <c r="D47" s="7">
        <v>140</v>
      </c>
      <c r="E47" s="7">
        <v>8</v>
      </c>
      <c r="F47" s="7">
        <v>0</v>
      </c>
      <c r="G47" s="7">
        <v>0</v>
      </c>
      <c r="H47" s="7">
        <v>3</v>
      </c>
      <c r="I47" s="7">
        <v>0</v>
      </c>
      <c r="J47" s="7">
        <v>0</v>
      </c>
      <c r="K47" s="7">
        <v>0</v>
      </c>
      <c r="L47" s="7"/>
      <c r="M47" s="7"/>
      <c r="N47" s="7">
        <f t="shared" si="0"/>
        <v>3</v>
      </c>
      <c r="O47" s="7"/>
      <c r="P47" s="7">
        <v>3</v>
      </c>
      <c r="Q47" s="7">
        <v>1</v>
      </c>
      <c r="R47" s="10">
        <v>42890</v>
      </c>
    </row>
    <row r="48" spans="1:18" ht="15.75" customHeight="1" x14ac:dyDescent="0.2">
      <c r="A48" s="5" t="s">
        <v>19</v>
      </c>
      <c r="B48" s="9">
        <v>42899</v>
      </c>
      <c r="C48" s="7">
        <v>2017</v>
      </c>
      <c r="D48" s="7">
        <v>58</v>
      </c>
      <c r="E48" s="7">
        <v>2</v>
      </c>
      <c r="F48" s="7">
        <v>1</v>
      </c>
      <c r="G48" s="7">
        <v>1</v>
      </c>
      <c r="H48" s="7">
        <v>0</v>
      </c>
      <c r="I48" s="7">
        <v>0</v>
      </c>
      <c r="J48" s="7">
        <v>0</v>
      </c>
      <c r="K48" s="7">
        <v>0</v>
      </c>
      <c r="L48" s="7"/>
      <c r="M48" s="7"/>
      <c r="N48" s="7">
        <f t="shared" si="0"/>
        <v>2</v>
      </c>
      <c r="O48" s="7"/>
      <c r="P48" s="7">
        <v>2</v>
      </c>
      <c r="Q48" s="7">
        <v>3</v>
      </c>
      <c r="R48" s="10">
        <v>42897</v>
      </c>
    </row>
    <row r="49" spans="1:18" ht="15.75" customHeight="1" x14ac:dyDescent="0.2">
      <c r="A49" s="5" t="s">
        <v>19</v>
      </c>
      <c r="B49" s="9">
        <v>42906</v>
      </c>
      <c r="C49" s="7">
        <v>2017</v>
      </c>
      <c r="D49" s="7">
        <v>128</v>
      </c>
      <c r="E49" s="7">
        <v>16</v>
      </c>
      <c r="F49" s="7">
        <v>0</v>
      </c>
      <c r="G49" s="7">
        <v>0</v>
      </c>
      <c r="H49" s="7">
        <v>3</v>
      </c>
      <c r="I49" s="7">
        <v>1</v>
      </c>
      <c r="J49" s="7">
        <v>0</v>
      </c>
      <c r="K49" s="7">
        <v>0</v>
      </c>
      <c r="L49" s="7"/>
      <c r="M49" s="7"/>
      <c r="N49" s="7">
        <f t="shared" si="0"/>
        <v>4</v>
      </c>
      <c r="O49" s="7"/>
      <c r="P49" s="7">
        <v>3</v>
      </c>
      <c r="Q49" s="7">
        <v>4</v>
      </c>
      <c r="R49" s="10">
        <v>42904</v>
      </c>
    </row>
    <row r="50" spans="1:18" ht="15.75" customHeight="1" x14ac:dyDescent="0.2">
      <c r="A50" s="5" t="s">
        <v>19</v>
      </c>
      <c r="B50" s="9">
        <v>42913</v>
      </c>
      <c r="C50" s="7">
        <v>2017</v>
      </c>
      <c r="D50" s="7">
        <v>114</v>
      </c>
      <c r="E50" s="7">
        <v>11</v>
      </c>
      <c r="F50" s="7">
        <v>0</v>
      </c>
      <c r="G50" s="7">
        <v>0</v>
      </c>
      <c r="H50" s="7">
        <v>0</v>
      </c>
      <c r="I50" s="7">
        <v>1</v>
      </c>
      <c r="J50" s="7">
        <v>0</v>
      </c>
      <c r="K50" s="7">
        <v>0</v>
      </c>
      <c r="L50" s="7"/>
      <c r="M50" s="7"/>
      <c r="N50" s="7">
        <f t="shared" si="0"/>
        <v>1</v>
      </c>
      <c r="O50" s="7"/>
      <c r="P50" s="7">
        <v>0</v>
      </c>
      <c r="Q50" s="7">
        <v>3</v>
      </c>
      <c r="R50" s="10">
        <v>42911</v>
      </c>
    </row>
    <row r="51" spans="1:18" ht="15.75" customHeight="1" x14ac:dyDescent="0.2">
      <c r="A51" s="5" t="s">
        <v>19</v>
      </c>
      <c r="B51" s="9">
        <v>42920</v>
      </c>
      <c r="C51" s="7">
        <v>2017</v>
      </c>
      <c r="D51" s="7">
        <v>100</v>
      </c>
      <c r="E51" s="7">
        <v>6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/>
      <c r="M51" s="7"/>
      <c r="N51" s="7">
        <f t="shared" si="0"/>
        <v>0</v>
      </c>
      <c r="O51" s="7"/>
      <c r="P51" s="7">
        <v>0</v>
      </c>
      <c r="Q51" s="7">
        <v>1</v>
      </c>
      <c r="R51" s="10">
        <v>42918</v>
      </c>
    </row>
    <row r="52" spans="1:18" ht="15.75" customHeight="1" x14ac:dyDescent="0.2">
      <c r="A52" s="5" t="s">
        <v>19</v>
      </c>
      <c r="B52" s="9">
        <v>42927</v>
      </c>
      <c r="C52" s="7">
        <v>2017</v>
      </c>
      <c r="D52" s="7">
        <v>110</v>
      </c>
      <c r="E52" s="7">
        <v>8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/>
      <c r="M52" s="7"/>
      <c r="N52" s="7">
        <f t="shared" si="0"/>
        <v>0</v>
      </c>
      <c r="O52" s="7"/>
      <c r="P52" s="7">
        <v>2</v>
      </c>
      <c r="Q52" s="7">
        <v>2</v>
      </c>
      <c r="R52" s="10">
        <v>42925</v>
      </c>
    </row>
    <row r="53" spans="1:18" ht="15.75" customHeight="1" x14ac:dyDescent="0.2">
      <c r="A53" s="5" t="s">
        <v>19</v>
      </c>
      <c r="B53" s="9">
        <v>42934</v>
      </c>
      <c r="C53" s="7">
        <v>2017</v>
      </c>
      <c r="D53" s="7">
        <v>121</v>
      </c>
      <c r="E53" s="7">
        <v>11</v>
      </c>
      <c r="F53" s="7">
        <v>1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/>
      <c r="M53" s="7"/>
      <c r="N53" s="7">
        <f t="shared" si="0"/>
        <v>1</v>
      </c>
      <c r="O53" s="7"/>
      <c r="P53" s="7">
        <v>1</v>
      </c>
      <c r="Q53" s="7">
        <v>4</v>
      </c>
      <c r="R53" s="10">
        <v>42932</v>
      </c>
    </row>
    <row r="54" spans="1:18" ht="15.75" customHeight="1" x14ac:dyDescent="0.2">
      <c r="A54" s="5" t="s">
        <v>19</v>
      </c>
      <c r="B54" s="9">
        <v>42941</v>
      </c>
      <c r="C54" s="7">
        <v>2017</v>
      </c>
      <c r="D54" s="7">
        <v>105</v>
      </c>
      <c r="E54" s="7">
        <v>22</v>
      </c>
      <c r="F54" s="7">
        <v>3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/>
      <c r="M54" s="7"/>
      <c r="N54" s="7">
        <f t="shared" si="0"/>
        <v>3</v>
      </c>
      <c r="O54" s="7"/>
      <c r="P54" s="7">
        <v>3</v>
      </c>
      <c r="Q54" s="7">
        <v>3</v>
      </c>
      <c r="R54" s="10">
        <v>42939</v>
      </c>
    </row>
    <row r="55" spans="1:18" ht="15.75" customHeight="1" x14ac:dyDescent="0.2">
      <c r="A55" s="5" t="s">
        <v>19</v>
      </c>
      <c r="B55" s="9">
        <v>42948</v>
      </c>
      <c r="C55" s="7">
        <v>2017</v>
      </c>
      <c r="D55" s="7">
        <v>102</v>
      </c>
      <c r="E55" s="7">
        <v>22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/>
      <c r="M55" s="7"/>
      <c r="N55" s="7">
        <f t="shared" si="0"/>
        <v>0</v>
      </c>
      <c r="O55" s="7"/>
      <c r="P55" s="7">
        <v>0</v>
      </c>
      <c r="Q55" s="7">
        <v>4</v>
      </c>
      <c r="R55" s="10">
        <v>42946</v>
      </c>
    </row>
    <row r="56" spans="1:18" ht="15.75" customHeight="1" x14ac:dyDescent="0.2">
      <c r="A56" s="5" t="s">
        <v>19</v>
      </c>
      <c r="B56" s="9">
        <v>42955</v>
      </c>
      <c r="C56" s="7">
        <v>2017</v>
      </c>
      <c r="D56" s="7">
        <v>102</v>
      </c>
      <c r="E56" s="7">
        <v>35</v>
      </c>
      <c r="F56" s="7">
        <v>0</v>
      </c>
      <c r="G56" s="7">
        <v>2</v>
      </c>
      <c r="H56" s="7">
        <v>2</v>
      </c>
      <c r="I56" s="7">
        <v>0</v>
      </c>
      <c r="J56" s="7">
        <v>0</v>
      </c>
      <c r="K56" s="7">
        <v>0</v>
      </c>
      <c r="L56" s="7"/>
      <c r="M56" s="7"/>
      <c r="N56" s="7">
        <f t="shared" si="0"/>
        <v>4</v>
      </c>
      <c r="O56" s="7"/>
      <c r="P56" s="7">
        <v>1</v>
      </c>
      <c r="Q56" s="7">
        <v>2</v>
      </c>
      <c r="R56" s="10">
        <v>42953</v>
      </c>
    </row>
    <row r="57" spans="1:18" ht="15.75" customHeight="1" x14ac:dyDescent="0.2">
      <c r="A57" s="5" t="s">
        <v>19</v>
      </c>
      <c r="B57" s="9">
        <v>42962</v>
      </c>
      <c r="C57" s="7">
        <v>2017</v>
      </c>
      <c r="D57" s="7">
        <v>107</v>
      </c>
      <c r="E57" s="7">
        <v>41</v>
      </c>
      <c r="F57" s="7">
        <v>2</v>
      </c>
      <c r="G57" s="7">
        <v>8</v>
      </c>
      <c r="H57" s="7">
        <v>0</v>
      </c>
      <c r="I57" s="7">
        <v>0</v>
      </c>
      <c r="J57" s="7">
        <v>0</v>
      </c>
      <c r="K57" s="7">
        <v>2</v>
      </c>
      <c r="L57" s="7"/>
      <c r="M57" s="7"/>
      <c r="N57" s="7">
        <f t="shared" si="0"/>
        <v>10</v>
      </c>
      <c r="O57" s="7"/>
      <c r="P57" s="7">
        <v>1</v>
      </c>
      <c r="Q57" s="7">
        <v>1</v>
      </c>
      <c r="R57" s="10">
        <v>42960</v>
      </c>
    </row>
    <row r="58" spans="1:18" ht="15.75" customHeight="1" x14ac:dyDescent="0.2">
      <c r="A58" s="5" t="s">
        <v>19</v>
      </c>
      <c r="B58" s="6">
        <v>43277</v>
      </c>
      <c r="C58" s="7">
        <v>2018</v>
      </c>
      <c r="D58" s="5">
        <v>103</v>
      </c>
      <c r="E58" s="5">
        <v>34</v>
      </c>
      <c r="F58" s="5">
        <v>0</v>
      </c>
      <c r="G58" s="5">
        <v>2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7">
        <f t="shared" si="0"/>
        <v>2</v>
      </c>
      <c r="O58" s="5">
        <v>4</v>
      </c>
      <c r="P58" s="5"/>
      <c r="Q58" s="5"/>
      <c r="R58" s="8"/>
    </row>
    <row r="59" spans="1:18" ht="15.75" customHeight="1" x14ac:dyDescent="0.2">
      <c r="A59" s="5" t="s">
        <v>19</v>
      </c>
      <c r="B59" s="6">
        <v>43284</v>
      </c>
      <c r="C59" s="7">
        <v>2018</v>
      </c>
      <c r="D59" s="5">
        <v>100</v>
      </c>
      <c r="E59" s="5">
        <v>12</v>
      </c>
      <c r="F59" s="5">
        <v>2</v>
      </c>
      <c r="G59" s="5">
        <v>2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7">
        <f t="shared" si="0"/>
        <v>4</v>
      </c>
      <c r="O59" s="5">
        <v>5</v>
      </c>
      <c r="P59" s="5"/>
      <c r="Q59" s="5"/>
      <c r="R59" s="8"/>
    </row>
    <row r="60" spans="1:18" ht="15.75" customHeight="1" x14ac:dyDescent="0.2">
      <c r="A60" s="5" t="s">
        <v>19</v>
      </c>
      <c r="B60" s="6">
        <v>43291</v>
      </c>
      <c r="C60" s="7">
        <v>2018</v>
      </c>
      <c r="D60" s="5">
        <v>103</v>
      </c>
      <c r="E60" s="5">
        <v>10</v>
      </c>
      <c r="F60" s="5">
        <v>0</v>
      </c>
      <c r="G60" s="5">
        <v>1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7">
        <f t="shared" si="0"/>
        <v>1</v>
      </c>
      <c r="O60" s="5">
        <v>4</v>
      </c>
      <c r="P60" s="5"/>
      <c r="Q60" s="5"/>
      <c r="R60" s="8"/>
    </row>
    <row r="61" spans="1:18" ht="15.75" customHeight="1" x14ac:dyDescent="0.2">
      <c r="A61" s="5" t="s">
        <v>19</v>
      </c>
      <c r="B61" s="6">
        <v>43298</v>
      </c>
      <c r="C61" s="7">
        <v>2018</v>
      </c>
      <c r="D61" s="5">
        <v>101</v>
      </c>
      <c r="E61" s="5">
        <v>11</v>
      </c>
      <c r="F61" s="5">
        <v>1</v>
      </c>
      <c r="G61" s="5">
        <v>0</v>
      </c>
      <c r="H61" s="5">
        <v>1</v>
      </c>
      <c r="I61" s="5">
        <v>0</v>
      </c>
      <c r="J61" s="5">
        <v>1</v>
      </c>
      <c r="K61" s="5">
        <v>0</v>
      </c>
      <c r="L61" s="5">
        <v>0</v>
      </c>
      <c r="M61" s="5">
        <v>0</v>
      </c>
      <c r="N61" s="7">
        <f t="shared" si="0"/>
        <v>3</v>
      </c>
      <c r="O61" s="5">
        <v>0</v>
      </c>
      <c r="P61" s="5"/>
      <c r="Q61" s="5"/>
      <c r="R61" s="8"/>
    </row>
    <row r="62" spans="1:18" ht="15.75" customHeight="1" x14ac:dyDescent="0.2">
      <c r="A62" s="5" t="s">
        <v>19</v>
      </c>
      <c r="B62" s="6">
        <v>43305</v>
      </c>
      <c r="C62" s="7">
        <v>2018</v>
      </c>
      <c r="D62" s="5">
        <v>100</v>
      </c>
      <c r="E62" s="5">
        <v>3</v>
      </c>
      <c r="F62" s="5">
        <v>11</v>
      </c>
      <c r="G62" s="5">
        <v>2</v>
      </c>
      <c r="H62" s="5">
        <v>1</v>
      </c>
      <c r="I62" s="5">
        <v>0</v>
      </c>
      <c r="J62" s="5">
        <v>0</v>
      </c>
      <c r="K62" s="5">
        <v>0</v>
      </c>
      <c r="L62" s="5">
        <v>1</v>
      </c>
      <c r="M62" s="5">
        <v>0</v>
      </c>
      <c r="N62" s="7">
        <f t="shared" si="0"/>
        <v>14</v>
      </c>
      <c r="O62" s="5">
        <v>2</v>
      </c>
      <c r="P62" s="5"/>
      <c r="Q62" s="5"/>
      <c r="R62" s="8"/>
    </row>
    <row r="63" spans="1:18" ht="15.75" customHeight="1" x14ac:dyDescent="0.2">
      <c r="A63" s="5" t="s">
        <v>19</v>
      </c>
      <c r="B63" s="6">
        <v>43312</v>
      </c>
      <c r="C63" s="7">
        <v>2018</v>
      </c>
      <c r="D63" s="5">
        <v>106</v>
      </c>
      <c r="E63" s="5">
        <v>31</v>
      </c>
      <c r="F63" s="5">
        <v>0</v>
      </c>
      <c r="G63" s="5">
        <v>0</v>
      </c>
      <c r="H63" s="5">
        <v>0</v>
      </c>
      <c r="I63" s="5">
        <v>0</v>
      </c>
      <c r="J63" s="5">
        <v>1</v>
      </c>
      <c r="K63" s="5">
        <v>0</v>
      </c>
      <c r="L63" s="5">
        <v>0</v>
      </c>
      <c r="M63" s="5">
        <v>0</v>
      </c>
      <c r="N63" s="7">
        <f t="shared" si="0"/>
        <v>1</v>
      </c>
      <c r="O63" s="5">
        <v>0</v>
      </c>
      <c r="P63" s="5"/>
      <c r="Q63" s="5"/>
      <c r="R63" s="8"/>
    </row>
    <row r="64" spans="1:18" ht="15.75" customHeight="1" x14ac:dyDescent="0.2">
      <c r="A64" s="5" t="s">
        <v>19</v>
      </c>
      <c r="B64" s="6">
        <v>43326</v>
      </c>
      <c r="C64" s="7">
        <v>2018</v>
      </c>
      <c r="D64" s="5">
        <v>105</v>
      </c>
      <c r="E64" s="5">
        <v>35</v>
      </c>
      <c r="F64" s="5">
        <v>12</v>
      </c>
      <c r="G64" s="5">
        <v>4</v>
      </c>
      <c r="H64" s="5">
        <v>2</v>
      </c>
      <c r="I64" s="5">
        <v>0</v>
      </c>
      <c r="J64" s="5">
        <v>1</v>
      </c>
      <c r="K64" s="5">
        <v>0</v>
      </c>
      <c r="L64" s="5">
        <v>0</v>
      </c>
      <c r="M64" s="5">
        <v>0</v>
      </c>
      <c r="N64" s="7">
        <f t="shared" si="0"/>
        <v>19</v>
      </c>
      <c r="O64" s="5">
        <v>0</v>
      </c>
      <c r="P64" s="5"/>
      <c r="Q64" s="5"/>
      <c r="R64" s="8"/>
    </row>
    <row r="65" spans="1:18" ht="15.75" customHeight="1" x14ac:dyDescent="0.2">
      <c r="A65" s="5" t="s">
        <v>19</v>
      </c>
      <c r="B65" s="6">
        <v>43333</v>
      </c>
      <c r="C65" s="7">
        <v>2018</v>
      </c>
      <c r="D65" s="5">
        <v>104</v>
      </c>
      <c r="E65" s="5">
        <v>51</v>
      </c>
      <c r="F65" s="5">
        <v>1</v>
      </c>
      <c r="G65" s="5">
        <v>1</v>
      </c>
      <c r="H65" s="5">
        <v>2</v>
      </c>
      <c r="I65" s="5">
        <v>1</v>
      </c>
      <c r="J65" s="5">
        <v>1</v>
      </c>
      <c r="K65" s="5">
        <v>0</v>
      </c>
      <c r="L65" s="5">
        <v>2</v>
      </c>
      <c r="M65" s="5">
        <v>0</v>
      </c>
      <c r="N65" s="7">
        <f t="shared" si="0"/>
        <v>6</v>
      </c>
      <c r="O65" s="5">
        <v>3</v>
      </c>
      <c r="P65" s="5"/>
      <c r="Q65" s="5"/>
      <c r="R65" s="8"/>
    </row>
    <row r="66" spans="1:18" ht="15.75" customHeight="1" x14ac:dyDescent="0.2">
      <c r="A66" s="5" t="s">
        <v>19</v>
      </c>
      <c r="B66" s="6">
        <v>43627</v>
      </c>
      <c r="C66" s="7">
        <v>2019</v>
      </c>
      <c r="D66" s="5">
        <v>159</v>
      </c>
      <c r="E66" s="5">
        <v>29</v>
      </c>
      <c r="F66" s="5">
        <v>9</v>
      </c>
      <c r="G66" s="5">
        <v>6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7">
        <f t="shared" si="0"/>
        <v>15</v>
      </c>
      <c r="O66" s="5">
        <v>0</v>
      </c>
      <c r="P66" s="5"/>
      <c r="Q66" s="5"/>
      <c r="R66" s="8"/>
    </row>
    <row r="67" spans="1:18" ht="15.75" customHeight="1" x14ac:dyDescent="0.2">
      <c r="A67" s="5" t="s">
        <v>19</v>
      </c>
      <c r="B67" s="6">
        <v>43641</v>
      </c>
      <c r="C67" s="7">
        <v>2019</v>
      </c>
      <c r="D67" s="5">
        <v>147</v>
      </c>
      <c r="E67" s="5">
        <v>24</v>
      </c>
      <c r="F67" s="5">
        <v>0</v>
      </c>
      <c r="G67" s="5">
        <v>1</v>
      </c>
      <c r="H67" s="5">
        <v>0</v>
      </c>
      <c r="I67" s="5">
        <v>3</v>
      </c>
      <c r="J67" s="5">
        <v>1</v>
      </c>
      <c r="K67" s="5">
        <v>0</v>
      </c>
      <c r="L67" s="5">
        <v>1</v>
      </c>
      <c r="M67" s="5">
        <v>0</v>
      </c>
      <c r="N67" s="7">
        <f t="shared" si="0"/>
        <v>5</v>
      </c>
      <c r="O67" s="5">
        <v>2</v>
      </c>
      <c r="P67" s="5"/>
      <c r="Q67" s="5"/>
      <c r="R67" s="8"/>
    </row>
    <row r="68" spans="1:18" ht="15.75" customHeight="1" x14ac:dyDescent="0.2">
      <c r="A68" s="5" t="s">
        <v>19</v>
      </c>
      <c r="B68" s="6">
        <v>43648</v>
      </c>
      <c r="C68" s="7">
        <v>2019</v>
      </c>
      <c r="D68" s="5">
        <v>97</v>
      </c>
      <c r="E68" s="5">
        <v>13</v>
      </c>
      <c r="F68" s="5">
        <v>0</v>
      </c>
      <c r="G68" s="5">
        <v>0</v>
      </c>
      <c r="H68" s="5">
        <v>0</v>
      </c>
      <c r="I68" s="5">
        <v>2</v>
      </c>
      <c r="J68" s="5">
        <v>0</v>
      </c>
      <c r="K68" s="5">
        <v>0</v>
      </c>
      <c r="L68" s="5">
        <v>0</v>
      </c>
      <c r="M68" s="5">
        <v>0</v>
      </c>
      <c r="N68" s="7">
        <f t="shared" si="0"/>
        <v>2</v>
      </c>
      <c r="O68" s="5">
        <v>4</v>
      </c>
      <c r="P68" s="5"/>
      <c r="Q68" s="5"/>
      <c r="R68" s="8"/>
    </row>
    <row r="69" spans="1:18" ht="15.75" customHeight="1" x14ac:dyDescent="0.2">
      <c r="A69" s="5" t="s">
        <v>19</v>
      </c>
      <c r="B69" s="6">
        <v>43655</v>
      </c>
      <c r="C69" s="7">
        <v>2019</v>
      </c>
      <c r="D69" s="5">
        <v>106</v>
      </c>
      <c r="E69" s="5">
        <v>29</v>
      </c>
      <c r="F69" s="5">
        <v>0</v>
      </c>
      <c r="G69" s="5">
        <v>0</v>
      </c>
      <c r="H69" s="5">
        <v>1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7">
        <f t="shared" si="0"/>
        <v>1</v>
      </c>
      <c r="O69" s="5">
        <v>4</v>
      </c>
      <c r="P69" s="5"/>
      <c r="Q69" s="5"/>
      <c r="R69" s="8"/>
    </row>
    <row r="70" spans="1:18" ht="15.75" customHeight="1" x14ac:dyDescent="0.2">
      <c r="A70" s="5" t="s">
        <v>19</v>
      </c>
      <c r="B70" s="6">
        <v>43662</v>
      </c>
      <c r="C70" s="7">
        <v>2019</v>
      </c>
      <c r="D70" s="5">
        <v>103</v>
      </c>
      <c r="E70" s="5">
        <v>28</v>
      </c>
      <c r="F70" s="5">
        <v>0</v>
      </c>
      <c r="G70" s="5">
        <v>9</v>
      </c>
      <c r="H70" s="5">
        <v>4</v>
      </c>
      <c r="I70" s="5">
        <v>0</v>
      </c>
      <c r="J70" s="5">
        <v>2</v>
      </c>
      <c r="K70" s="5">
        <v>0</v>
      </c>
      <c r="L70" s="5">
        <v>0</v>
      </c>
      <c r="M70" s="5">
        <v>0</v>
      </c>
      <c r="N70" s="7">
        <f t="shared" si="0"/>
        <v>15</v>
      </c>
      <c r="O70" s="5">
        <v>2</v>
      </c>
      <c r="P70" s="5"/>
      <c r="Q70" s="5"/>
      <c r="R70" s="8"/>
    </row>
    <row r="71" spans="1:18" ht="15.75" customHeight="1" x14ac:dyDescent="0.2">
      <c r="A71" s="5" t="s">
        <v>19</v>
      </c>
      <c r="B71" s="6">
        <v>43669</v>
      </c>
      <c r="C71" s="7">
        <v>2019</v>
      </c>
      <c r="D71" s="5">
        <v>104</v>
      </c>
      <c r="E71" s="5">
        <v>65</v>
      </c>
      <c r="F71" s="5">
        <v>1</v>
      </c>
      <c r="G71" s="5">
        <v>3</v>
      </c>
      <c r="H71" s="5">
        <v>3</v>
      </c>
      <c r="I71" s="5">
        <v>0</v>
      </c>
      <c r="J71" s="5">
        <v>0</v>
      </c>
      <c r="K71" s="5">
        <v>0</v>
      </c>
      <c r="L71" s="5">
        <v>2</v>
      </c>
      <c r="M71" s="5">
        <v>0</v>
      </c>
      <c r="N71" s="7">
        <f t="shared" si="0"/>
        <v>7</v>
      </c>
      <c r="O71" s="5">
        <v>4</v>
      </c>
      <c r="P71" s="5"/>
      <c r="Q71" s="5"/>
      <c r="R71" s="8"/>
    </row>
    <row r="72" spans="1:18" ht="15.75" customHeight="1" x14ac:dyDescent="0.2">
      <c r="A72" s="5" t="s">
        <v>19</v>
      </c>
      <c r="B72" s="6">
        <v>43676</v>
      </c>
      <c r="C72" s="7">
        <v>2019</v>
      </c>
      <c r="D72" s="5">
        <v>118</v>
      </c>
      <c r="E72" s="5">
        <v>50</v>
      </c>
      <c r="F72" s="5">
        <v>2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7">
        <f t="shared" si="0"/>
        <v>2</v>
      </c>
      <c r="O72" s="5">
        <v>2</v>
      </c>
      <c r="P72" s="5"/>
      <c r="Q72" s="5"/>
      <c r="R72" s="8"/>
    </row>
    <row r="73" spans="1:18" ht="15.75" customHeight="1" x14ac:dyDescent="0.2">
      <c r="A73" s="5" t="s">
        <v>19</v>
      </c>
      <c r="B73" s="6">
        <v>43683</v>
      </c>
      <c r="C73" s="7">
        <v>2019</v>
      </c>
      <c r="D73" s="5">
        <v>106</v>
      </c>
      <c r="E73" s="5">
        <v>27</v>
      </c>
      <c r="F73" s="5">
        <v>8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1</v>
      </c>
      <c r="M73" s="5">
        <v>0</v>
      </c>
      <c r="N73" s="7">
        <f t="shared" si="0"/>
        <v>8</v>
      </c>
      <c r="O73" s="5">
        <v>2</v>
      </c>
      <c r="P73" s="5"/>
      <c r="Q73" s="5"/>
      <c r="R73" s="8"/>
    </row>
    <row r="74" spans="1:18" ht="15.75" customHeight="1" x14ac:dyDescent="0.2">
      <c r="A74" s="5" t="s">
        <v>19</v>
      </c>
      <c r="B74" s="6">
        <v>43690</v>
      </c>
      <c r="C74" s="7">
        <v>2019</v>
      </c>
      <c r="D74" s="5">
        <v>104</v>
      </c>
      <c r="E74" s="5">
        <v>15</v>
      </c>
      <c r="F74" s="5">
        <v>5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7">
        <f t="shared" si="0"/>
        <v>5</v>
      </c>
      <c r="O74" s="5">
        <v>0</v>
      </c>
      <c r="P74" s="5"/>
      <c r="Q74" s="5"/>
      <c r="R74" s="8"/>
    </row>
    <row r="75" spans="1:18" ht="15.75" customHeight="1" x14ac:dyDescent="0.2">
      <c r="A75" s="5" t="s">
        <v>19</v>
      </c>
      <c r="B75" s="6">
        <v>43697</v>
      </c>
      <c r="C75" s="7">
        <v>2019</v>
      </c>
      <c r="D75" s="5">
        <v>107</v>
      </c>
      <c r="E75" s="5">
        <v>9</v>
      </c>
      <c r="F75" s="5">
        <v>1</v>
      </c>
      <c r="G75" s="5">
        <v>1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1</v>
      </c>
      <c r="N75" s="7">
        <f t="shared" si="0"/>
        <v>2</v>
      </c>
      <c r="O75" s="5">
        <v>0</v>
      </c>
      <c r="P75" s="5"/>
      <c r="Q75" s="5"/>
      <c r="R75" s="8"/>
    </row>
    <row r="76" spans="1:18" ht="15.75" customHeight="1" x14ac:dyDescent="0.2">
      <c r="N76" s="5"/>
    </row>
    <row r="77" spans="1:18" ht="15.75" customHeight="1" x14ac:dyDescent="0.2">
      <c r="N77" s="5"/>
    </row>
    <row r="78" spans="1:18" ht="15.75" customHeight="1" x14ac:dyDescent="0.2">
      <c r="N78" s="5"/>
    </row>
    <row r="79" spans="1:18" ht="15.75" customHeight="1" x14ac:dyDescent="0.2">
      <c r="N79" s="5"/>
    </row>
    <row r="80" spans="1:18" ht="15.75" customHeight="1" x14ac:dyDescent="0.2">
      <c r="N80" s="5"/>
    </row>
    <row r="81" spans="14:14" ht="15.75" customHeight="1" x14ac:dyDescent="0.2">
      <c r="N81" s="5"/>
    </row>
    <row r="82" spans="14:14" ht="15.75" customHeight="1" x14ac:dyDescent="0.2">
      <c r="N82" s="5"/>
    </row>
    <row r="83" spans="14:14" ht="15.75" customHeight="1" x14ac:dyDescent="0.2">
      <c r="N83" s="5"/>
    </row>
    <row r="84" spans="14:14" ht="15.75" customHeight="1" x14ac:dyDescent="0.2">
      <c r="N84" s="5"/>
    </row>
    <row r="85" spans="14:14" ht="15.75" customHeight="1" x14ac:dyDescent="0.2">
      <c r="N85" s="5"/>
    </row>
    <row r="86" spans="14:14" ht="15.75" customHeight="1" x14ac:dyDescent="0.2">
      <c r="N86" s="5"/>
    </row>
    <row r="87" spans="14:14" ht="15.75" customHeight="1" x14ac:dyDescent="0.2">
      <c r="N87" s="5"/>
    </row>
    <row r="88" spans="14:14" ht="15.75" customHeight="1" x14ac:dyDescent="0.2">
      <c r="N88" s="5"/>
    </row>
    <row r="89" spans="14:14" ht="15.75" customHeight="1" x14ac:dyDescent="0.2">
      <c r="N89" s="5"/>
    </row>
    <row r="90" spans="14:14" ht="15.75" customHeight="1" x14ac:dyDescent="0.2">
      <c r="N90" s="5"/>
    </row>
    <row r="91" spans="14:14" ht="15.75" customHeight="1" x14ac:dyDescent="0.2">
      <c r="N91" s="5"/>
    </row>
    <row r="92" spans="14:14" ht="15.75" customHeight="1" x14ac:dyDescent="0.2">
      <c r="N92" s="5"/>
    </row>
    <row r="93" spans="14:14" ht="15.75" customHeight="1" x14ac:dyDescent="0.2">
      <c r="N93" s="5"/>
    </row>
    <row r="94" spans="14:14" ht="15.75" customHeight="1" x14ac:dyDescent="0.2">
      <c r="N94" s="5"/>
    </row>
    <row r="95" spans="14:14" ht="15.75" customHeight="1" x14ac:dyDescent="0.2">
      <c r="N95" s="5"/>
    </row>
    <row r="96" spans="14:14" ht="15.75" customHeight="1" x14ac:dyDescent="0.2">
      <c r="N96" s="5"/>
    </row>
    <row r="97" spans="14:14" ht="15.75" customHeight="1" x14ac:dyDescent="0.2">
      <c r="N97" s="5"/>
    </row>
    <row r="98" spans="14:14" ht="15.75" customHeight="1" x14ac:dyDescent="0.2">
      <c r="N98" s="5"/>
    </row>
    <row r="99" spans="14:14" ht="15.75" customHeight="1" x14ac:dyDescent="0.2">
      <c r="N99" s="5"/>
    </row>
    <row r="100" spans="14:14" ht="15.75" customHeight="1" x14ac:dyDescent="0.2">
      <c r="N100" s="5"/>
    </row>
    <row r="101" spans="14:14" ht="15.75" customHeight="1" x14ac:dyDescent="0.2">
      <c r="N101" s="5"/>
    </row>
    <row r="102" spans="14:14" ht="15.75" customHeight="1" x14ac:dyDescent="0.2">
      <c r="N102" s="5"/>
    </row>
    <row r="103" spans="14:14" ht="15.75" customHeight="1" x14ac:dyDescent="0.2">
      <c r="N103" s="5"/>
    </row>
    <row r="104" spans="14:14" ht="15.75" customHeight="1" x14ac:dyDescent="0.2">
      <c r="N104" s="5"/>
    </row>
    <row r="105" spans="14:14" ht="15.75" customHeight="1" x14ac:dyDescent="0.2">
      <c r="N105" s="5"/>
    </row>
    <row r="106" spans="14:14" ht="15.75" customHeight="1" x14ac:dyDescent="0.2">
      <c r="N106" s="5"/>
    </row>
    <row r="107" spans="14:14" ht="15.75" customHeight="1" x14ac:dyDescent="0.2">
      <c r="N107" s="5"/>
    </row>
    <row r="108" spans="14:14" ht="15.75" customHeight="1" x14ac:dyDescent="0.2">
      <c r="N108" s="5"/>
    </row>
    <row r="109" spans="14:14" ht="15.75" customHeight="1" x14ac:dyDescent="0.2">
      <c r="N109" s="5"/>
    </row>
    <row r="110" spans="14:14" ht="15.75" customHeight="1" x14ac:dyDescent="0.2">
      <c r="N110" s="5"/>
    </row>
    <row r="111" spans="14:14" ht="15.75" customHeight="1" x14ac:dyDescent="0.2">
      <c r="N111" s="5"/>
    </row>
    <row r="112" spans="14:14" ht="15.75" customHeight="1" x14ac:dyDescent="0.2">
      <c r="N112" s="5"/>
    </row>
    <row r="113" spans="14:14" ht="15.75" customHeight="1" x14ac:dyDescent="0.2">
      <c r="N113" s="5"/>
    </row>
    <row r="114" spans="14:14" ht="15.75" customHeight="1" x14ac:dyDescent="0.2">
      <c r="N114" s="5"/>
    </row>
    <row r="115" spans="14:14" ht="15.75" customHeight="1" x14ac:dyDescent="0.2">
      <c r="N115" s="5"/>
    </row>
    <row r="116" spans="14:14" ht="15.75" customHeight="1" x14ac:dyDescent="0.2">
      <c r="N116" s="5"/>
    </row>
    <row r="117" spans="14:14" ht="15.75" customHeight="1" x14ac:dyDescent="0.2">
      <c r="N117" s="5"/>
    </row>
    <row r="118" spans="14:14" ht="15.75" customHeight="1" x14ac:dyDescent="0.2">
      <c r="N118" s="5"/>
    </row>
    <row r="119" spans="14:14" ht="15.75" customHeight="1" x14ac:dyDescent="0.2">
      <c r="N119" s="5"/>
    </row>
    <row r="120" spans="14:14" ht="15.75" customHeight="1" x14ac:dyDescent="0.2">
      <c r="N120" s="5"/>
    </row>
    <row r="121" spans="14:14" ht="15.75" customHeight="1" x14ac:dyDescent="0.2">
      <c r="N121" s="5"/>
    </row>
    <row r="122" spans="14:14" ht="15.75" customHeight="1" x14ac:dyDescent="0.2">
      <c r="N122" s="5"/>
    </row>
    <row r="123" spans="14:14" ht="15.75" customHeight="1" x14ac:dyDescent="0.2">
      <c r="N123" s="5"/>
    </row>
    <row r="124" spans="14:14" ht="15.75" customHeight="1" x14ac:dyDescent="0.2">
      <c r="N124" s="5"/>
    </row>
    <row r="125" spans="14:14" ht="15.75" customHeight="1" x14ac:dyDescent="0.2">
      <c r="N125" s="5"/>
    </row>
    <row r="126" spans="14:14" ht="15.75" customHeight="1" x14ac:dyDescent="0.2">
      <c r="N126" s="5"/>
    </row>
    <row r="127" spans="14:14" ht="15.75" customHeight="1" x14ac:dyDescent="0.2">
      <c r="N127" s="5"/>
    </row>
    <row r="128" spans="14:14" ht="15.75" customHeight="1" x14ac:dyDescent="0.2">
      <c r="N128" s="5"/>
    </row>
    <row r="129" spans="14:14" ht="15.75" customHeight="1" x14ac:dyDescent="0.2">
      <c r="N129" s="5"/>
    </row>
    <row r="130" spans="14:14" ht="15.75" customHeight="1" x14ac:dyDescent="0.2">
      <c r="N130" s="5"/>
    </row>
    <row r="131" spans="14:14" ht="15.75" customHeight="1" x14ac:dyDescent="0.2">
      <c r="N131" s="5"/>
    </row>
    <row r="132" spans="14:14" ht="15.75" customHeight="1" x14ac:dyDescent="0.2">
      <c r="N132" s="5"/>
    </row>
    <row r="133" spans="14:14" ht="15.75" customHeight="1" x14ac:dyDescent="0.2">
      <c r="N133" s="5"/>
    </row>
    <row r="134" spans="14:14" ht="15.75" customHeight="1" x14ac:dyDescent="0.2">
      <c r="N134" s="5"/>
    </row>
    <row r="135" spans="14:14" ht="15.75" customHeight="1" x14ac:dyDescent="0.2">
      <c r="N135" s="5"/>
    </row>
    <row r="136" spans="14:14" ht="15.75" customHeight="1" x14ac:dyDescent="0.2">
      <c r="N136" s="5"/>
    </row>
    <row r="137" spans="14:14" ht="15.75" customHeight="1" x14ac:dyDescent="0.2">
      <c r="N137" s="5"/>
    </row>
    <row r="138" spans="14:14" ht="15.75" customHeight="1" x14ac:dyDescent="0.2">
      <c r="N138" s="5"/>
    </row>
    <row r="139" spans="14:14" ht="15.75" customHeight="1" x14ac:dyDescent="0.2">
      <c r="N139" s="5"/>
    </row>
    <row r="140" spans="14:14" ht="15.75" customHeight="1" x14ac:dyDescent="0.2">
      <c r="N140" s="5"/>
    </row>
    <row r="141" spans="14:14" ht="15.75" customHeight="1" x14ac:dyDescent="0.2">
      <c r="N141" s="5"/>
    </row>
    <row r="142" spans="14:14" ht="15.75" customHeight="1" x14ac:dyDescent="0.2">
      <c r="N142" s="5"/>
    </row>
    <row r="143" spans="14:14" ht="15.75" customHeight="1" x14ac:dyDescent="0.2">
      <c r="N143" s="5"/>
    </row>
    <row r="144" spans="14:14" ht="15.75" customHeight="1" x14ac:dyDescent="0.2">
      <c r="N144" s="5"/>
    </row>
    <row r="145" spans="14:14" ht="15.75" customHeight="1" x14ac:dyDescent="0.2">
      <c r="N145" s="5"/>
    </row>
    <row r="146" spans="14:14" ht="15.75" customHeight="1" x14ac:dyDescent="0.2">
      <c r="N146" s="5"/>
    </row>
    <row r="147" spans="14:14" ht="15.75" customHeight="1" x14ac:dyDescent="0.2">
      <c r="N147" s="5"/>
    </row>
    <row r="148" spans="14:14" ht="15.75" customHeight="1" x14ac:dyDescent="0.2">
      <c r="N148" s="5"/>
    </row>
    <row r="149" spans="14:14" ht="15.75" customHeight="1" x14ac:dyDescent="0.2">
      <c r="N149" s="5"/>
    </row>
    <row r="150" spans="14:14" ht="15.75" customHeight="1" x14ac:dyDescent="0.2">
      <c r="N150" s="5"/>
    </row>
    <row r="151" spans="14:14" ht="15.75" customHeight="1" x14ac:dyDescent="0.2">
      <c r="N151" s="5"/>
    </row>
    <row r="152" spans="14:14" ht="15.75" customHeight="1" x14ac:dyDescent="0.2">
      <c r="N152" s="5"/>
    </row>
    <row r="153" spans="14:14" ht="15.75" customHeight="1" x14ac:dyDescent="0.2">
      <c r="N153" s="5"/>
    </row>
    <row r="154" spans="14:14" ht="15.75" customHeight="1" x14ac:dyDescent="0.2">
      <c r="N154" s="5"/>
    </row>
    <row r="155" spans="14:14" ht="15.75" customHeight="1" x14ac:dyDescent="0.2">
      <c r="N155" s="5"/>
    </row>
    <row r="156" spans="14:14" ht="15.75" customHeight="1" x14ac:dyDescent="0.2">
      <c r="N156" s="5"/>
    </row>
    <row r="157" spans="14:14" ht="15.75" customHeight="1" x14ac:dyDescent="0.2">
      <c r="N157" s="5"/>
    </row>
    <row r="158" spans="14:14" ht="15.75" customHeight="1" x14ac:dyDescent="0.2">
      <c r="N158" s="5"/>
    </row>
    <row r="159" spans="14:14" ht="15.75" customHeight="1" x14ac:dyDescent="0.2">
      <c r="N159" s="5"/>
    </row>
    <row r="160" spans="14:14" ht="15.75" customHeight="1" x14ac:dyDescent="0.2">
      <c r="N160" s="5"/>
    </row>
    <row r="161" spans="14:14" ht="15.75" customHeight="1" x14ac:dyDescent="0.2">
      <c r="N161" s="5"/>
    </row>
    <row r="162" spans="14:14" ht="15.75" customHeight="1" x14ac:dyDescent="0.2">
      <c r="N162" s="5"/>
    </row>
    <row r="163" spans="14:14" ht="15.75" customHeight="1" x14ac:dyDescent="0.2">
      <c r="N163" s="5"/>
    </row>
    <row r="164" spans="14:14" ht="15.75" customHeight="1" x14ac:dyDescent="0.2">
      <c r="N164" s="5"/>
    </row>
    <row r="165" spans="14:14" ht="15.75" customHeight="1" x14ac:dyDescent="0.2">
      <c r="N165" s="5"/>
    </row>
    <row r="166" spans="14:14" ht="15.75" customHeight="1" x14ac:dyDescent="0.2">
      <c r="N166" s="5"/>
    </row>
    <row r="167" spans="14:14" ht="15.75" customHeight="1" x14ac:dyDescent="0.2">
      <c r="N167" s="5"/>
    </row>
    <row r="168" spans="14:14" ht="15.75" customHeight="1" x14ac:dyDescent="0.2">
      <c r="N168" s="5"/>
    </row>
    <row r="169" spans="14:14" ht="15.75" customHeight="1" x14ac:dyDescent="0.2">
      <c r="N169" s="5"/>
    </row>
    <row r="170" spans="14:14" ht="15.75" customHeight="1" x14ac:dyDescent="0.2">
      <c r="N170" s="5"/>
    </row>
    <row r="171" spans="14:14" ht="15.75" customHeight="1" x14ac:dyDescent="0.2">
      <c r="N171" s="5"/>
    </row>
    <row r="172" spans="14:14" ht="15.75" customHeight="1" x14ac:dyDescent="0.2">
      <c r="N172" s="5"/>
    </row>
    <row r="173" spans="14:14" ht="15.75" customHeight="1" x14ac:dyDescent="0.2">
      <c r="N173" s="5"/>
    </row>
    <row r="174" spans="14:14" ht="15.75" customHeight="1" x14ac:dyDescent="0.2">
      <c r="N174" s="5"/>
    </row>
    <row r="175" spans="14:14" ht="15.75" customHeight="1" x14ac:dyDescent="0.2">
      <c r="N175" s="5"/>
    </row>
    <row r="176" spans="14:14" ht="15.75" customHeight="1" x14ac:dyDescent="0.2">
      <c r="N176" s="5"/>
    </row>
    <row r="177" spans="14:14" ht="15.75" customHeight="1" x14ac:dyDescent="0.2">
      <c r="N177" s="5"/>
    </row>
    <row r="178" spans="14:14" ht="15.75" customHeight="1" x14ac:dyDescent="0.2">
      <c r="N178" s="5"/>
    </row>
    <row r="179" spans="14:14" ht="15.75" customHeight="1" x14ac:dyDescent="0.2">
      <c r="N179" s="5"/>
    </row>
    <row r="180" spans="14:14" ht="15.75" customHeight="1" x14ac:dyDescent="0.2">
      <c r="N180" s="5"/>
    </row>
    <row r="181" spans="14:14" ht="15.75" customHeight="1" x14ac:dyDescent="0.2">
      <c r="N181" s="5"/>
    </row>
    <row r="182" spans="14:14" ht="15.75" customHeight="1" x14ac:dyDescent="0.2">
      <c r="N182" s="5"/>
    </row>
    <row r="183" spans="14:14" ht="15.75" customHeight="1" x14ac:dyDescent="0.2">
      <c r="N183" s="5"/>
    </row>
    <row r="184" spans="14:14" ht="15.75" customHeight="1" x14ac:dyDescent="0.2">
      <c r="N184" s="5"/>
    </row>
    <row r="185" spans="14:14" ht="15.75" customHeight="1" x14ac:dyDescent="0.2">
      <c r="N185" s="5"/>
    </row>
    <row r="186" spans="14:14" ht="15.75" customHeight="1" x14ac:dyDescent="0.2">
      <c r="N186" s="5"/>
    </row>
    <row r="187" spans="14:14" ht="15.75" customHeight="1" x14ac:dyDescent="0.2">
      <c r="N187" s="5"/>
    </row>
    <row r="188" spans="14:14" ht="15.75" customHeight="1" x14ac:dyDescent="0.2">
      <c r="N188" s="5"/>
    </row>
    <row r="189" spans="14:14" ht="15.75" customHeight="1" x14ac:dyDescent="0.2">
      <c r="N189" s="5"/>
    </row>
    <row r="190" spans="14:14" ht="15.75" customHeight="1" x14ac:dyDescent="0.2">
      <c r="N190" s="5"/>
    </row>
    <row r="191" spans="14:14" ht="15.75" customHeight="1" x14ac:dyDescent="0.2">
      <c r="N191" s="5"/>
    </row>
    <row r="192" spans="14:14" ht="15.75" customHeight="1" x14ac:dyDescent="0.2">
      <c r="N192" s="5"/>
    </row>
    <row r="193" spans="14:14" ht="15.75" customHeight="1" x14ac:dyDescent="0.2">
      <c r="N193" s="5"/>
    </row>
    <row r="194" spans="14:14" ht="15.75" customHeight="1" x14ac:dyDescent="0.2">
      <c r="N194" s="5"/>
    </row>
    <row r="195" spans="14:14" ht="15.75" customHeight="1" x14ac:dyDescent="0.2">
      <c r="N195" s="5"/>
    </row>
    <row r="196" spans="14:14" ht="15.75" customHeight="1" x14ac:dyDescent="0.2">
      <c r="N196" s="5"/>
    </row>
    <row r="197" spans="14:14" ht="15.75" customHeight="1" x14ac:dyDescent="0.2">
      <c r="N197" s="5"/>
    </row>
    <row r="198" spans="14:14" ht="15.75" customHeight="1" x14ac:dyDescent="0.2">
      <c r="N198" s="5"/>
    </row>
    <row r="199" spans="14:14" ht="15.75" customHeight="1" x14ac:dyDescent="0.2">
      <c r="N199" s="5"/>
    </row>
    <row r="200" spans="14:14" ht="15.75" customHeight="1" x14ac:dyDescent="0.2">
      <c r="N200" s="5"/>
    </row>
    <row r="201" spans="14:14" ht="15.75" customHeight="1" x14ac:dyDescent="0.2">
      <c r="N201" s="5"/>
    </row>
    <row r="202" spans="14:14" ht="15.75" customHeight="1" x14ac:dyDescent="0.2">
      <c r="N202" s="5"/>
    </row>
    <row r="203" spans="14:14" ht="15.75" customHeight="1" x14ac:dyDescent="0.2">
      <c r="N203" s="5"/>
    </row>
    <row r="204" spans="14:14" ht="15.75" customHeight="1" x14ac:dyDescent="0.2">
      <c r="N204" s="5"/>
    </row>
    <row r="205" spans="14:14" ht="15.75" customHeight="1" x14ac:dyDescent="0.2">
      <c r="N205" s="5"/>
    </row>
    <row r="206" spans="14:14" ht="15.75" customHeight="1" x14ac:dyDescent="0.2">
      <c r="N206" s="5"/>
    </row>
    <row r="207" spans="14:14" ht="15.75" customHeight="1" x14ac:dyDescent="0.2">
      <c r="N207" s="5"/>
    </row>
    <row r="208" spans="14:14" ht="15.75" customHeight="1" x14ac:dyDescent="0.2">
      <c r="N208" s="5"/>
    </row>
    <row r="209" spans="14:14" ht="15.75" customHeight="1" x14ac:dyDescent="0.2">
      <c r="N209" s="5"/>
    </row>
    <row r="210" spans="14:14" ht="15.75" customHeight="1" x14ac:dyDescent="0.2">
      <c r="N210" s="5"/>
    </row>
    <row r="211" spans="14:14" ht="15.75" customHeight="1" x14ac:dyDescent="0.2">
      <c r="N211" s="5"/>
    </row>
    <row r="212" spans="14:14" ht="15.75" customHeight="1" x14ac:dyDescent="0.2">
      <c r="N212" s="5"/>
    </row>
    <row r="213" spans="14:14" ht="15.75" customHeight="1" x14ac:dyDescent="0.2">
      <c r="N213" s="5"/>
    </row>
    <row r="214" spans="14:14" ht="15.75" customHeight="1" x14ac:dyDescent="0.2">
      <c r="N214" s="5"/>
    </row>
    <row r="215" spans="14:14" ht="15.75" customHeight="1" x14ac:dyDescent="0.2">
      <c r="N215" s="5"/>
    </row>
    <row r="216" spans="14:14" ht="15.75" customHeight="1" x14ac:dyDescent="0.2">
      <c r="N216" s="5"/>
    </row>
    <row r="217" spans="14:14" ht="15.75" customHeight="1" x14ac:dyDescent="0.2">
      <c r="N217" s="5"/>
    </row>
    <row r="218" spans="14:14" ht="15.75" customHeight="1" x14ac:dyDescent="0.2">
      <c r="N218" s="5"/>
    </row>
    <row r="219" spans="14:14" ht="15.75" customHeight="1" x14ac:dyDescent="0.2">
      <c r="N219" s="5"/>
    </row>
    <row r="220" spans="14:14" ht="15.75" customHeight="1" x14ac:dyDescent="0.2">
      <c r="N220" s="5"/>
    </row>
    <row r="221" spans="14:14" ht="15.75" customHeight="1" x14ac:dyDescent="0.2">
      <c r="N221" s="5"/>
    </row>
    <row r="222" spans="14:14" ht="15.75" customHeight="1" x14ac:dyDescent="0.2">
      <c r="N222" s="5"/>
    </row>
    <row r="223" spans="14:14" ht="15.75" customHeight="1" x14ac:dyDescent="0.2">
      <c r="N223" s="5"/>
    </row>
    <row r="224" spans="14:14" ht="15.75" customHeight="1" x14ac:dyDescent="0.2">
      <c r="N224" s="5"/>
    </row>
    <row r="225" spans="14:14" ht="15.75" customHeight="1" x14ac:dyDescent="0.2">
      <c r="N225" s="5"/>
    </row>
    <row r="226" spans="14:14" ht="15.75" customHeight="1" x14ac:dyDescent="0.2">
      <c r="N226" s="5"/>
    </row>
    <row r="227" spans="14:14" ht="15.75" customHeight="1" x14ac:dyDescent="0.2">
      <c r="N227" s="5"/>
    </row>
    <row r="228" spans="14:14" ht="15.75" customHeight="1" x14ac:dyDescent="0.2">
      <c r="N228" s="5"/>
    </row>
    <row r="229" spans="14:14" ht="15.75" customHeight="1" x14ac:dyDescent="0.2">
      <c r="N229" s="5"/>
    </row>
    <row r="230" spans="14:14" ht="15.75" customHeight="1" x14ac:dyDescent="0.2">
      <c r="N230" s="5"/>
    </row>
    <row r="231" spans="14:14" ht="15.75" customHeight="1" x14ac:dyDescent="0.2">
      <c r="N231" s="5"/>
    </row>
    <row r="232" spans="14:14" ht="15.75" customHeight="1" x14ac:dyDescent="0.2">
      <c r="N232" s="5"/>
    </row>
    <row r="233" spans="14:14" ht="15.75" customHeight="1" x14ac:dyDescent="0.2">
      <c r="N233" s="5"/>
    </row>
    <row r="234" spans="14:14" ht="15.75" customHeight="1" x14ac:dyDescent="0.2">
      <c r="N234" s="5"/>
    </row>
    <row r="235" spans="14:14" ht="15.75" customHeight="1" x14ac:dyDescent="0.2">
      <c r="N235" s="5"/>
    </row>
    <row r="236" spans="14:14" ht="15.75" customHeight="1" x14ac:dyDescent="0.2">
      <c r="N236" s="5"/>
    </row>
    <row r="237" spans="14:14" ht="15.75" customHeight="1" x14ac:dyDescent="0.2">
      <c r="N237" s="5"/>
    </row>
    <row r="238" spans="14:14" ht="15.75" customHeight="1" x14ac:dyDescent="0.2">
      <c r="N238" s="5"/>
    </row>
    <row r="239" spans="14:14" ht="15.75" customHeight="1" x14ac:dyDescent="0.2">
      <c r="N239" s="5"/>
    </row>
    <row r="240" spans="14:14" ht="15.75" customHeight="1" x14ac:dyDescent="0.2">
      <c r="N240" s="5"/>
    </row>
    <row r="241" spans="14:14" ht="15.75" customHeight="1" x14ac:dyDescent="0.2">
      <c r="N241" s="5"/>
    </row>
    <row r="242" spans="14:14" ht="15.75" customHeight="1" x14ac:dyDescent="0.2">
      <c r="N242" s="5"/>
    </row>
    <row r="243" spans="14:14" ht="15.75" customHeight="1" x14ac:dyDescent="0.2">
      <c r="N243" s="5"/>
    </row>
    <row r="244" spans="14:14" ht="15.75" customHeight="1" x14ac:dyDescent="0.2">
      <c r="N244" s="5"/>
    </row>
    <row r="245" spans="14:14" ht="15.75" customHeight="1" x14ac:dyDescent="0.2">
      <c r="N245" s="5"/>
    </row>
    <row r="246" spans="14:14" ht="15.75" customHeight="1" x14ac:dyDescent="0.2">
      <c r="N246" s="5"/>
    </row>
    <row r="247" spans="14:14" ht="15.75" customHeight="1" x14ac:dyDescent="0.2">
      <c r="N247" s="5"/>
    </row>
    <row r="248" spans="14:14" ht="15.75" customHeight="1" x14ac:dyDescent="0.2">
      <c r="N248" s="5"/>
    </row>
    <row r="249" spans="14:14" ht="15.75" customHeight="1" x14ac:dyDescent="0.2">
      <c r="N249" s="5"/>
    </row>
    <row r="250" spans="14:14" ht="15.75" customHeight="1" x14ac:dyDescent="0.2">
      <c r="N250" s="5"/>
    </row>
    <row r="251" spans="14:14" ht="15.75" customHeight="1" x14ac:dyDescent="0.2">
      <c r="N251" s="5"/>
    </row>
    <row r="252" spans="14:14" ht="15.75" customHeight="1" x14ac:dyDescent="0.2">
      <c r="N252" s="5"/>
    </row>
    <row r="253" spans="14:14" ht="15.75" customHeight="1" x14ac:dyDescent="0.2">
      <c r="N253" s="5"/>
    </row>
    <row r="254" spans="14:14" ht="15.75" customHeight="1" x14ac:dyDescent="0.2">
      <c r="N254" s="5"/>
    </row>
    <row r="255" spans="14:14" ht="15.75" customHeight="1" x14ac:dyDescent="0.2">
      <c r="N255" s="5"/>
    </row>
    <row r="256" spans="14:14" ht="15.75" customHeight="1" x14ac:dyDescent="0.2">
      <c r="N256" s="5"/>
    </row>
    <row r="257" spans="14:14" ht="15.75" customHeight="1" x14ac:dyDescent="0.2">
      <c r="N257" s="5"/>
    </row>
    <row r="258" spans="14:14" ht="15.75" customHeight="1" x14ac:dyDescent="0.2">
      <c r="N258" s="5"/>
    </row>
    <row r="259" spans="14:14" ht="15.75" customHeight="1" x14ac:dyDescent="0.2">
      <c r="N259" s="5"/>
    </row>
    <row r="260" spans="14:14" ht="15.75" customHeight="1" x14ac:dyDescent="0.2">
      <c r="N260" s="5"/>
    </row>
    <row r="261" spans="14:14" ht="15.75" customHeight="1" x14ac:dyDescent="0.2">
      <c r="N261" s="5"/>
    </row>
    <row r="262" spans="14:14" ht="15.75" customHeight="1" x14ac:dyDescent="0.2">
      <c r="N262" s="5"/>
    </row>
    <row r="263" spans="14:14" ht="15.75" customHeight="1" x14ac:dyDescent="0.2">
      <c r="N263" s="5"/>
    </row>
    <row r="264" spans="14:14" ht="15.75" customHeight="1" x14ac:dyDescent="0.2">
      <c r="N264" s="5"/>
    </row>
    <row r="265" spans="14:14" ht="15.75" customHeight="1" x14ac:dyDescent="0.2">
      <c r="N265" s="5"/>
    </row>
    <row r="266" spans="14:14" ht="15.75" customHeight="1" x14ac:dyDescent="0.2">
      <c r="N266" s="5"/>
    </row>
    <row r="267" spans="14:14" ht="15.75" customHeight="1" x14ac:dyDescent="0.2">
      <c r="N267" s="5"/>
    </row>
    <row r="268" spans="14:14" ht="15.75" customHeight="1" x14ac:dyDescent="0.2">
      <c r="N268" s="5"/>
    </row>
    <row r="269" spans="14:14" ht="15.75" customHeight="1" x14ac:dyDescent="0.2">
      <c r="N269" s="5"/>
    </row>
    <row r="270" spans="14:14" ht="15.75" customHeight="1" x14ac:dyDescent="0.2">
      <c r="N270" s="5"/>
    </row>
    <row r="271" spans="14:14" ht="15.75" customHeight="1" x14ac:dyDescent="0.2">
      <c r="N271" s="5"/>
    </row>
    <row r="272" spans="14:14" ht="15.75" customHeight="1" x14ac:dyDescent="0.2">
      <c r="N272" s="5"/>
    </row>
    <row r="273" spans="14:14" ht="15.75" customHeight="1" x14ac:dyDescent="0.2">
      <c r="N273" s="5"/>
    </row>
    <row r="274" spans="14:14" ht="15.75" customHeight="1" x14ac:dyDescent="0.2">
      <c r="N274" s="5"/>
    </row>
    <row r="275" spans="14:14" ht="15.75" customHeight="1" x14ac:dyDescent="0.2">
      <c r="N275" s="5"/>
    </row>
    <row r="276" spans="14:14" ht="15.75" customHeight="1" x14ac:dyDescent="0.2"/>
    <row r="277" spans="14:14" ht="15.75" customHeight="1" x14ac:dyDescent="0.2"/>
    <row r="278" spans="14:14" ht="15.75" customHeight="1" x14ac:dyDescent="0.2"/>
    <row r="279" spans="14:14" ht="15.75" customHeight="1" x14ac:dyDescent="0.2"/>
    <row r="280" spans="14:14" ht="15.75" customHeight="1" x14ac:dyDescent="0.2"/>
    <row r="281" spans="14:14" ht="15.75" customHeight="1" x14ac:dyDescent="0.2"/>
    <row r="282" spans="14:14" ht="15.75" customHeight="1" x14ac:dyDescent="0.2"/>
    <row r="283" spans="14:14" ht="15.75" customHeight="1" x14ac:dyDescent="0.2"/>
    <row r="284" spans="14:14" ht="15.75" customHeight="1" x14ac:dyDescent="0.2"/>
    <row r="285" spans="14:14" ht="15.75" customHeight="1" x14ac:dyDescent="0.2"/>
    <row r="286" spans="14:14" ht="15.75" customHeight="1" x14ac:dyDescent="0.2"/>
    <row r="287" spans="14:14" ht="15.75" customHeight="1" x14ac:dyDescent="0.2"/>
    <row r="288" spans="14:14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analysis</vt:lpstr>
      <vt:lpstr>MV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Cormac I. Billick</cp:lastModifiedBy>
  <dcterms:modified xsi:type="dcterms:W3CDTF">2025-07-21T18:40:34Z</dcterms:modified>
</cp:coreProperties>
</file>